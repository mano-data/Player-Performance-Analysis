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LVAM\Desktop\Mano_python\Player_Performance_Analysis\Dataset\"/>
    </mc:Choice>
  </mc:AlternateContent>
  <xr:revisionPtr revIDLastSave="0" documentId="13_ncr:1_{D870D37B-1431-4B21-961D-D5B85833575A}" xr6:coauthVersionLast="47" xr6:coauthVersionMax="47" xr10:uidLastSave="{00000000-0000-0000-0000-000000000000}"/>
  <bookViews>
    <workbookView xWindow="1464" yWindow="1464" windowWidth="17280" windowHeight="9960" xr2:uid="{0FBE4CC3-8A5D-4D93-915E-E6D656DDCE87}"/>
  </bookViews>
  <sheets>
    <sheet name="Virat_Kohli" sheetId="11" r:id="rId1"/>
    <sheet name="Rohit_Sharma" sheetId="10" r:id="rId2"/>
    <sheet name="KL_Rahul" sheetId="9" r:id="rId3"/>
    <sheet name="Shreyas_Iyer" sheetId="8" r:id="rId4"/>
    <sheet name="Shubman_Gill" sheetId="7" r:id="rId5"/>
    <sheet name="Suryakumar_yadav" sheetId="6" r:id="rId6"/>
    <sheet name="Ravindra_jadaja" sheetId="19" r:id="rId7"/>
    <sheet name="Hardik_Pandya" sheetId="18" r:id="rId8"/>
    <sheet name="Axer_Patel" sheetId="3" r:id="rId9"/>
    <sheet name="Jasprit_Bumrah" sheetId="13" r:id="rId10"/>
    <sheet name="Mohammed_Shami" sheetId="12" r:id="rId11"/>
    <sheet name="Mohammed_Siraj" sheetId="14" r:id="rId12"/>
    <sheet name="Kuldeep_Yadav" sheetId="15" r:id="rId13"/>
    <sheet name="Shardul_Thakur" sheetId="16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1" l="1"/>
  <c r="L13" i="11"/>
  <c r="I10" i="9"/>
  <c r="L10" i="9"/>
  <c r="I13" i="8"/>
  <c r="L13" i="8"/>
  <c r="AF13" i="19"/>
  <c r="AE13" i="19"/>
  <c r="I13" i="19"/>
  <c r="L13" i="19"/>
  <c r="I7" i="13"/>
  <c r="H7" i="13"/>
  <c r="I7" i="16"/>
  <c r="H7" i="16"/>
  <c r="I6" i="16"/>
  <c r="H6" i="16"/>
  <c r="I6" i="13"/>
  <c r="H6" i="13"/>
  <c r="AF12" i="19"/>
  <c r="AE12" i="19"/>
  <c r="I10" i="19"/>
  <c r="L10" i="19"/>
  <c r="I11" i="19"/>
  <c r="L11" i="19"/>
  <c r="I12" i="19"/>
  <c r="L12" i="19"/>
  <c r="I12" i="8"/>
  <c r="L12" i="8"/>
  <c r="I9" i="9"/>
  <c r="L9" i="9"/>
  <c r="I12" i="11"/>
  <c r="L12" i="11"/>
  <c r="I10" i="15"/>
  <c r="H10" i="15"/>
  <c r="I5" i="16"/>
  <c r="H5" i="16"/>
  <c r="I11" i="12"/>
  <c r="H11" i="12"/>
  <c r="I5" i="13"/>
  <c r="H5" i="13"/>
  <c r="AF11" i="19"/>
  <c r="AE11" i="19"/>
  <c r="I11" i="8"/>
  <c r="L11" i="8"/>
  <c r="I8" i="9"/>
  <c r="L8" i="9"/>
  <c r="I11" i="11"/>
  <c r="L11" i="11"/>
  <c r="I9" i="15"/>
  <c r="H9" i="15"/>
  <c r="I10" i="12"/>
  <c r="H10" i="12"/>
  <c r="H4" i="13"/>
  <c r="I4" i="13"/>
  <c r="AF10" i="19"/>
  <c r="AE10" i="19"/>
  <c r="I10" i="8"/>
  <c r="L10" i="8"/>
  <c r="I7" i="9"/>
  <c r="L7" i="9"/>
  <c r="I10" i="10"/>
  <c r="L10" i="10"/>
  <c r="I10" i="11"/>
  <c r="L10" i="11"/>
  <c r="I8" i="15"/>
  <c r="H8" i="15"/>
  <c r="I9" i="12"/>
  <c r="H9" i="12"/>
  <c r="H3" i="13"/>
  <c r="I3" i="13"/>
  <c r="AF9" i="19"/>
  <c r="AE9" i="19"/>
  <c r="I9" i="19"/>
  <c r="L9" i="19"/>
  <c r="I9" i="8"/>
  <c r="L9" i="8"/>
  <c r="I6" i="9"/>
  <c r="L6" i="9"/>
  <c r="I9" i="10"/>
  <c r="L9" i="10"/>
  <c r="I9" i="11"/>
  <c r="L9" i="11"/>
  <c r="I8" i="19"/>
  <c r="L8" i="19"/>
  <c r="I8" i="8"/>
  <c r="L8" i="8"/>
  <c r="L5" i="9"/>
  <c r="I5" i="9"/>
  <c r="I8" i="10"/>
  <c r="AF8" i="19"/>
  <c r="AE8" i="19"/>
  <c r="I8" i="12"/>
  <c r="H8" i="12"/>
  <c r="H6" i="15"/>
  <c r="H7" i="15"/>
  <c r="I7" i="15"/>
  <c r="H4" i="16"/>
  <c r="I4" i="16"/>
  <c r="I2" i="13"/>
  <c r="H2" i="13"/>
  <c r="L8" i="10"/>
  <c r="I8" i="11"/>
  <c r="L8" i="11"/>
  <c r="I6" i="15"/>
  <c r="I3" i="16"/>
  <c r="H3" i="16"/>
  <c r="I7" i="12"/>
  <c r="H7" i="12"/>
  <c r="AF7" i="19"/>
  <c r="AE7" i="19"/>
  <c r="I2" i="9"/>
  <c r="I3" i="9"/>
  <c r="I4" i="9"/>
  <c r="I2" i="10"/>
  <c r="I3" i="10"/>
  <c r="I4" i="10"/>
  <c r="I5" i="10"/>
  <c r="I6" i="10"/>
  <c r="I7" i="10"/>
  <c r="I2" i="8"/>
  <c r="I3" i="8"/>
  <c r="I4" i="8"/>
  <c r="I5" i="8"/>
  <c r="I6" i="8"/>
  <c r="I7" i="8"/>
  <c r="I2" i="11"/>
  <c r="I4" i="11"/>
  <c r="I5" i="11"/>
  <c r="I6" i="11"/>
  <c r="I7" i="11"/>
  <c r="I2" i="19"/>
  <c r="I3" i="19"/>
  <c r="I4" i="19"/>
  <c r="I5" i="19"/>
  <c r="I6" i="19"/>
  <c r="I7" i="19"/>
  <c r="L2" i="19"/>
  <c r="L3" i="19"/>
  <c r="L4" i="19"/>
  <c r="L6" i="19"/>
  <c r="L7" i="19"/>
  <c r="L2" i="8"/>
  <c r="L3" i="8"/>
  <c r="L4" i="8"/>
  <c r="L5" i="8"/>
  <c r="L7" i="8"/>
  <c r="L2" i="9"/>
  <c r="L4" i="9"/>
  <c r="L2" i="10"/>
  <c r="L3" i="10"/>
  <c r="L4" i="10"/>
  <c r="L5" i="10"/>
  <c r="L7" i="10"/>
  <c r="L5" i="11"/>
  <c r="L6" i="11"/>
  <c r="L7" i="11"/>
  <c r="L2" i="11"/>
  <c r="L3" i="11"/>
  <c r="L4" i="11"/>
  <c r="I2" i="16"/>
  <c r="H2" i="16"/>
  <c r="I2" i="12"/>
  <c r="I3" i="12"/>
  <c r="I4" i="12"/>
  <c r="I5" i="12"/>
  <c r="I6" i="12"/>
  <c r="AF2" i="19"/>
  <c r="AF3" i="19"/>
  <c r="AF4" i="19"/>
  <c r="AF5" i="19"/>
  <c r="AF6" i="19"/>
  <c r="I2" i="15"/>
  <c r="I5" i="15"/>
  <c r="AE2" i="19"/>
  <c r="AE3" i="19"/>
  <c r="AE4" i="19"/>
  <c r="AE6" i="19"/>
  <c r="AE5" i="19"/>
  <c r="H2" i="12"/>
  <c r="H4" i="12"/>
  <c r="H5" i="12"/>
  <c r="H6" i="12"/>
  <c r="H3" i="12"/>
  <c r="H2" i="15"/>
  <c r="H4" i="15"/>
  <c r="H5" i="15"/>
  <c r="H3" i="15"/>
  <c r="L6" i="8"/>
  <c r="L3" i="9"/>
  <c r="L6" i="10"/>
  <c r="L5" i="19"/>
  <c r="I4" i="15"/>
  <c r="I3" i="15"/>
  <c r="K2" i="12"/>
</calcChain>
</file>

<file path=xl/sharedStrings.xml><?xml version="1.0" encoding="utf-8"?>
<sst xmlns="http://schemas.openxmlformats.org/spreadsheetml/2006/main" count="1068" uniqueCount="112">
  <si>
    <t>Runs</t>
  </si>
  <si>
    <t>Balls_faced</t>
  </si>
  <si>
    <t>Dots</t>
  </si>
  <si>
    <t>1s_2s_3s</t>
  </si>
  <si>
    <t>4s</t>
  </si>
  <si>
    <t>6s</t>
  </si>
  <si>
    <t>50s</t>
  </si>
  <si>
    <t>100s</t>
  </si>
  <si>
    <t>Strike_Rate</t>
  </si>
  <si>
    <t>Not_out</t>
  </si>
  <si>
    <t>Runs_Longon</t>
  </si>
  <si>
    <t>Runs_Longoff</t>
  </si>
  <si>
    <t>Runs_Point</t>
  </si>
  <si>
    <t>Runs_Thirdman</t>
  </si>
  <si>
    <t>Runs_Fineleg</t>
  </si>
  <si>
    <t>Runs_Square</t>
  </si>
  <si>
    <t>Runs_Midwct</t>
  </si>
  <si>
    <t>Runs_Covers</t>
  </si>
  <si>
    <t>Innings_no</t>
  </si>
  <si>
    <t>Dismissed_by</t>
  </si>
  <si>
    <t>Dismised_Length</t>
  </si>
  <si>
    <t>Dismised_against</t>
  </si>
  <si>
    <t>Match_id</t>
  </si>
  <si>
    <t>Match_date</t>
  </si>
  <si>
    <t>Oppenent</t>
  </si>
  <si>
    <t>Venue</t>
  </si>
  <si>
    <t>Country</t>
  </si>
  <si>
    <t>Match_result</t>
  </si>
  <si>
    <t>Runs_Conceded</t>
  </si>
  <si>
    <t>Maidens</t>
  </si>
  <si>
    <t>Dot_Balls</t>
  </si>
  <si>
    <t>Extras</t>
  </si>
  <si>
    <t>Economy</t>
  </si>
  <si>
    <t>Wickets</t>
  </si>
  <si>
    <t>Balls_Bowled</t>
  </si>
  <si>
    <t>Full_Dismissals</t>
  </si>
  <si>
    <t>Good_Dissmisals</t>
  </si>
  <si>
    <t>Short_Dissmisals</t>
  </si>
  <si>
    <t>Runs_RHB</t>
  </si>
  <si>
    <t>Runs_LHB</t>
  </si>
  <si>
    <t>MATCH_001</t>
  </si>
  <si>
    <t>West Indies</t>
  </si>
  <si>
    <t>Guyana</t>
  </si>
  <si>
    <t>No Result</t>
  </si>
  <si>
    <t>MATCH_002</t>
  </si>
  <si>
    <t>Batted_Flag</t>
  </si>
  <si>
    <t>Not Applicable</t>
  </si>
  <si>
    <t>Wicket_RHB</t>
  </si>
  <si>
    <t>Wickwt_LHB</t>
  </si>
  <si>
    <t>Bowl_Flag</t>
  </si>
  <si>
    <t>Wicket_LHB</t>
  </si>
  <si>
    <t>Trinidad</t>
  </si>
  <si>
    <t>Won</t>
  </si>
  <si>
    <t>No</t>
  </si>
  <si>
    <t>Goog Length</t>
  </si>
  <si>
    <t>Carlos Brathwaite</t>
  </si>
  <si>
    <t>Full</t>
  </si>
  <si>
    <t>Kemer Roach</t>
  </si>
  <si>
    <t>Bowled</t>
  </si>
  <si>
    <t>Jason Holder</t>
  </si>
  <si>
    <t>Yes</t>
  </si>
  <si>
    <t>Caught</t>
  </si>
  <si>
    <t>MATCH_003</t>
  </si>
  <si>
    <t>Run Out</t>
  </si>
  <si>
    <t>Kemar Roach</t>
  </si>
  <si>
    <t>MATCH_004</t>
  </si>
  <si>
    <t>Chennai</t>
  </si>
  <si>
    <t>India</t>
  </si>
  <si>
    <t>Lose</t>
  </si>
  <si>
    <t>Sheldon Cottrell</t>
  </si>
  <si>
    <t>Good Length</t>
  </si>
  <si>
    <t>Short</t>
  </si>
  <si>
    <t>Alzarri Joseph</t>
  </si>
  <si>
    <t>MATCH_005</t>
  </si>
  <si>
    <t>Visakhapatnam</t>
  </si>
  <si>
    <t>Kieron Pollard</t>
  </si>
  <si>
    <t>Bowl_to_RHB</t>
  </si>
  <si>
    <t>Bowl_to_LHB</t>
  </si>
  <si>
    <t>MATCH_006</t>
  </si>
  <si>
    <t>Cuttak</t>
  </si>
  <si>
    <t>Keemo Paul</t>
  </si>
  <si>
    <t>MATCH_007</t>
  </si>
  <si>
    <t>Ausrtalia</t>
  </si>
  <si>
    <t>Mumbai</t>
  </si>
  <si>
    <t>Adam Zampa</t>
  </si>
  <si>
    <t>Australia</t>
  </si>
  <si>
    <t>Mitchell Starc</t>
  </si>
  <si>
    <t>Ashton Agar</t>
  </si>
  <si>
    <t>Kane Richardson</t>
  </si>
  <si>
    <t>MATCH_008</t>
  </si>
  <si>
    <t>Rajkot</t>
  </si>
  <si>
    <t xml:space="preserve"> No</t>
  </si>
  <si>
    <t>LBW</t>
  </si>
  <si>
    <t>MATCH_009</t>
  </si>
  <si>
    <t>New Zealand</t>
  </si>
  <si>
    <t>Bangaluru</t>
  </si>
  <si>
    <t>Josh Hazlehood</t>
  </si>
  <si>
    <t>Bengaluru</t>
  </si>
  <si>
    <t>Aston Agar</t>
  </si>
  <si>
    <t>MATCH_010</t>
  </si>
  <si>
    <t>Hamilton</t>
  </si>
  <si>
    <t>Ish Sodhi</t>
  </si>
  <si>
    <t>Tim Southee</t>
  </si>
  <si>
    <t>MATCH_011</t>
  </si>
  <si>
    <t>Auckland</t>
  </si>
  <si>
    <t>Colin de Grandhomme</t>
  </si>
  <si>
    <t>Hamies Bennett</t>
  </si>
  <si>
    <t>MATCH_012</t>
  </si>
  <si>
    <t>Mount Maunganui</t>
  </si>
  <si>
    <t>James Neesham</t>
  </si>
  <si>
    <t>Hamish Bennett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</si>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</sst>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EB18-F5D3-40E3-8E7F-BB8BC4A3F135}">
  <dimension ref="A1:AD13"/>
  <sheetViews>
    <sheetView tabSelected="1" workbookViewId="0">
      <selection activeCell="F13" sqref="F13"/>
    </sheetView>
  </sheetViews>
  <sheetFormatPr defaultRowHeight="14.4" x14ac:dyDescent="0.3"/>
  <cols>
    <col min="1" max="1" width="11" bestFit="1" customWidth="1"/>
    <col min="2" max="2" width="11.33203125" bestFit="1" customWidth="1"/>
    <col min="3" max="3" width="11.6640625" bestFit="1" customWidth="1"/>
    <col min="4" max="4" width="15.5546875" bestFit="1" customWidth="1"/>
    <col min="5" max="5" width="11.6640625" bestFit="1" customWidth="1"/>
    <col min="6" max="6" width="12.5546875" bestFit="1" customWidth="1"/>
    <col min="7" max="7" width="11.33203125" bestFit="1" customWidth="1"/>
    <col min="8" max="8" width="10.77734375" bestFit="1" customWidth="1"/>
    <col min="10" max="10" width="11.109375" bestFit="1" customWidth="1"/>
    <col min="12" max="12" width="8.77734375" bestFit="1" customWidth="1"/>
    <col min="17" max="17" width="11.33203125" bestFit="1" customWidth="1"/>
    <col min="18" max="18" width="14.109375" bestFit="1" customWidth="1"/>
    <col min="19" max="19" width="13.21875" bestFit="1" customWidth="1"/>
    <col min="20" max="20" width="13.44140625" bestFit="1" customWidth="1"/>
    <col min="21" max="21" width="12.88671875" bestFit="1" customWidth="1"/>
    <col min="22" max="22" width="11.109375" bestFit="1" customWidth="1"/>
    <col min="23" max="23" width="14.88671875" bestFit="1" customWidth="1"/>
    <col min="24" max="24" width="13.21875" bestFit="1" customWidth="1"/>
    <col min="25" max="25" width="12.6640625" bestFit="1" customWidth="1"/>
    <col min="26" max="26" width="12.88671875" bestFit="1" customWidth="1"/>
    <col min="27" max="27" width="14.109375" bestFit="1" customWidth="1"/>
    <col min="28" max="28" width="16.6640625" bestFit="1" customWidth="1"/>
    <col min="29" max="29" width="17" bestFit="1" customWidth="1"/>
  </cols>
  <sheetData>
    <row r="1" spans="1:30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45</v>
      </c>
      <c r="H1" s="1" t="s">
        <v>18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17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19</v>
      </c>
      <c r="AB1" s="1" t="s">
        <v>20</v>
      </c>
      <c r="AC1" s="1" t="s">
        <v>21</v>
      </c>
      <c r="AD1" s="1"/>
    </row>
    <row r="2" spans="1:30" x14ac:dyDescent="0.3">
      <c r="A2" t="s">
        <v>40</v>
      </c>
      <c r="B2" s="2">
        <v>43685</v>
      </c>
      <c r="C2" t="s">
        <v>41</v>
      </c>
      <c r="D2" t="s">
        <v>42</v>
      </c>
      <c r="E2" t="s">
        <v>41</v>
      </c>
      <c r="F2" t="s">
        <v>43</v>
      </c>
      <c r="G2">
        <v>0</v>
      </c>
      <c r="H2">
        <v>0</v>
      </c>
      <c r="I2">
        <f t="shared" ref="I2:I6" si="0">S2+T2+U2+V2+W2+X2+Y2+Z2</f>
        <v>0</v>
      </c>
      <c r="J2">
        <v>0</v>
      </c>
      <c r="K2">
        <v>0</v>
      </c>
      <c r="L2">
        <f t="shared" ref="L2:L3" si="1">I2-(M2*4+N2*6)</f>
        <v>0</v>
      </c>
      <c r="M2">
        <v>0</v>
      </c>
      <c r="N2">
        <v>0</v>
      </c>
      <c r="O2">
        <v>0</v>
      </c>
      <c r="P2">
        <v>0</v>
      </c>
      <c r="Q2">
        <v>0</v>
      </c>
      <c r="R2" t="s">
        <v>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46</v>
      </c>
      <c r="AB2" t="s">
        <v>46</v>
      </c>
      <c r="AC2" t="s">
        <v>46</v>
      </c>
    </row>
    <row r="3" spans="1:30" x14ac:dyDescent="0.3">
      <c r="A3" t="s">
        <v>44</v>
      </c>
      <c r="B3" s="2">
        <v>43691</v>
      </c>
      <c r="C3" t="s">
        <v>41</v>
      </c>
      <c r="D3" t="s">
        <v>51</v>
      </c>
      <c r="E3" t="s">
        <v>41</v>
      </c>
      <c r="F3" t="s">
        <v>52</v>
      </c>
      <c r="G3">
        <v>1</v>
      </c>
      <c r="H3">
        <v>1</v>
      </c>
      <c r="I3">
        <v>120</v>
      </c>
      <c r="J3">
        <v>125</v>
      </c>
      <c r="K3">
        <v>58</v>
      </c>
      <c r="L3">
        <f t="shared" si="1"/>
        <v>58</v>
      </c>
      <c r="M3">
        <v>14</v>
      </c>
      <c r="N3">
        <v>1</v>
      </c>
      <c r="O3">
        <v>0</v>
      </c>
      <c r="P3">
        <v>1</v>
      </c>
      <c r="Q3">
        <v>96</v>
      </c>
      <c r="R3" t="s">
        <v>53</v>
      </c>
      <c r="S3">
        <v>18</v>
      </c>
      <c r="T3">
        <v>12</v>
      </c>
      <c r="U3">
        <v>9</v>
      </c>
      <c r="V3">
        <v>6</v>
      </c>
      <c r="W3">
        <v>21</v>
      </c>
      <c r="X3">
        <v>15</v>
      </c>
      <c r="Y3">
        <v>6</v>
      </c>
      <c r="Z3">
        <v>32</v>
      </c>
      <c r="AA3" t="s">
        <v>61</v>
      </c>
      <c r="AB3" t="s">
        <v>54</v>
      </c>
      <c r="AC3" t="s">
        <v>55</v>
      </c>
    </row>
    <row r="4" spans="1:30" x14ac:dyDescent="0.3">
      <c r="A4" t="s">
        <v>62</v>
      </c>
      <c r="B4" s="2">
        <v>43689</v>
      </c>
      <c r="C4" t="s">
        <v>41</v>
      </c>
      <c r="D4" t="s">
        <v>51</v>
      </c>
      <c r="E4" t="s">
        <v>41</v>
      </c>
      <c r="F4" t="s">
        <v>52</v>
      </c>
      <c r="G4">
        <v>1</v>
      </c>
      <c r="H4">
        <v>2</v>
      </c>
      <c r="I4">
        <f t="shared" si="0"/>
        <v>114</v>
      </c>
      <c r="J4">
        <v>99</v>
      </c>
      <c r="K4">
        <v>38</v>
      </c>
      <c r="L4">
        <f>I4-(M4*4+N4*6)</f>
        <v>58</v>
      </c>
      <c r="M4">
        <v>14</v>
      </c>
      <c r="N4">
        <v>0</v>
      </c>
      <c r="O4">
        <v>0</v>
      </c>
      <c r="P4">
        <v>1</v>
      </c>
      <c r="Q4">
        <v>115.15</v>
      </c>
      <c r="R4" t="s">
        <v>60</v>
      </c>
      <c r="S4">
        <v>6</v>
      </c>
      <c r="T4">
        <v>10</v>
      </c>
      <c r="U4">
        <v>30</v>
      </c>
      <c r="V4">
        <v>14</v>
      </c>
      <c r="W4">
        <v>11</v>
      </c>
      <c r="X4">
        <v>12</v>
      </c>
      <c r="Y4">
        <v>5</v>
      </c>
      <c r="Z4">
        <v>26</v>
      </c>
      <c r="AA4" t="s">
        <v>46</v>
      </c>
      <c r="AB4" t="s">
        <v>46</v>
      </c>
      <c r="AC4" t="s">
        <v>46</v>
      </c>
    </row>
    <row r="5" spans="1:30" x14ac:dyDescent="0.3">
      <c r="A5" t="s">
        <v>65</v>
      </c>
      <c r="B5" s="2">
        <v>43814</v>
      </c>
      <c r="C5" t="s">
        <v>41</v>
      </c>
      <c r="D5" t="s">
        <v>66</v>
      </c>
      <c r="E5" t="s">
        <v>67</v>
      </c>
      <c r="F5" t="s">
        <v>68</v>
      </c>
      <c r="G5">
        <v>1</v>
      </c>
      <c r="H5">
        <v>1</v>
      </c>
      <c r="I5">
        <f t="shared" si="0"/>
        <v>4</v>
      </c>
      <c r="J5">
        <v>4</v>
      </c>
      <c r="K5">
        <v>3</v>
      </c>
      <c r="L5">
        <f t="shared" ref="L5:L8" si="2">I5-(M5*4+N5*6)</f>
        <v>0</v>
      </c>
      <c r="M5">
        <v>1</v>
      </c>
      <c r="N5">
        <v>0</v>
      </c>
      <c r="O5">
        <v>0</v>
      </c>
      <c r="P5">
        <v>0</v>
      </c>
      <c r="Q5">
        <v>100</v>
      </c>
      <c r="R5" t="s">
        <v>53</v>
      </c>
      <c r="S5">
        <v>0</v>
      </c>
      <c r="T5">
        <v>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 t="s">
        <v>58</v>
      </c>
      <c r="AB5" t="s">
        <v>54</v>
      </c>
      <c r="AC5" t="s">
        <v>69</v>
      </c>
    </row>
    <row r="6" spans="1:30" x14ac:dyDescent="0.3">
      <c r="A6" t="s">
        <v>73</v>
      </c>
      <c r="B6" s="2">
        <v>43817</v>
      </c>
      <c r="C6" t="s">
        <v>41</v>
      </c>
      <c r="D6" t="s">
        <v>74</v>
      </c>
      <c r="E6" t="s">
        <v>67</v>
      </c>
      <c r="F6" t="s">
        <v>52</v>
      </c>
      <c r="G6">
        <v>1</v>
      </c>
      <c r="H6">
        <v>1</v>
      </c>
      <c r="I6">
        <f t="shared" si="0"/>
        <v>0</v>
      </c>
      <c r="J6">
        <v>1</v>
      </c>
      <c r="K6">
        <v>1</v>
      </c>
      <c r="L6">
        <f t="shared" si="2"/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53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t="s">
        <v>61</v>
      </c>
      <c r="AB6" t="s">
        <v>71</v>
      </c>
      <c r="AC6" t="s">
        <v>75</v>
      </c>
    </row>
    <row r="7" spans="1:30" x14ac:dyDescent="0.3">
      <c r="A7" t="s">
        <v>78</v>
      </c>
      <c r="B7" s="2">
        <v>43821</v>
      </c>
      <c r="C7" t="s">
        <v>41</v>
      </c>
      <c r="D7" t="s">
        <v>79</v>
      </c>
      <c r="E7" t="s">
        <v>67</v>
      </c>
      <c r="F7" t="s">
        <v>52</v>
      </c>
      <c r="G7">
        <v>1</v>
      </c>
      <c r="H7">
        <v>2</v>
      </c>
      <c r="I7">
        <f t="shared" ref="I7:I13" si="3">S7+T7+U7+V7+W7+X7+Y7+Z7</f>
        <v>85</v>
      </c>
      <c r="J7">
        <v>81</v>
      </c>
      <c r="K7">
        <v>30</v>
      </c>
      <c r="L7">
        <f t="shared" si="2"/>
        <v>49</v>
      </c>
      <c r="M7">
        <v>9</v>
      </c>
      <c r="N7">
        <v>0</v>
      </c>
      <c r="O7">
        <v>1</v>
      </c>
      <c r="P7">
        <v>0</v>
      </c>
      <c r="Q7">
        <v>104.94</v>
      </c>
      <c r="R7" t="s">
        <v>53</v>
      </c>
      <c r="S7">
        <v>4</v>
      </c>
      <c r="T7">
        <v>6</v>
      </c>
      <c r="U7">
        <v>16</v>
      </c>
      <c r="V7">
        <v>5</v>
      </c>
      <c r="W7">
        <v>15</v>
      </c>
      <c r="X7">
        <v>4</v>
      </c>
      <c r="Y7">
        <v>15</v>
      </c>
      <c r="Z7">
        <v>20</v>
      </c>
      <c r="AA7" t="s">
        <v>58</v>
      </c>
      <c r="AB7" t="s">
        <v>56</v>
      </c>
      <c r="AC7" t="s">
        <v>80</v>
      </c>
    </row>
    <row r="8" spans="1:30" x14ac:dyDescent="0.3">
      <c r="A8" t="s">
        <v>81</v>
      </c>
      <c r="B8" s="2">
        <v>43844</v>
      </c>
      <c r="C8" t="s">
        <v>82</v>
      </c>
      <c r="D8" t="s">
        <v>83</v>
      </c>
      <c r="E8" t="s">
        <v>67</v>
      </c>
      <c r="F8" t="s">
        <v>68</v>
      </c>
      <c r="G8">
        <v>1</v>
      </c>
      <c r="H8">
        <v>1</v>
      </c>
      <c r="I8">
        <f t="shared" si="3"/>
        <v>16</v>
      </c>
      <c r="J8">
        <v>14</v>
      </c>
      <c r="K8">
        <v>4</v>
      </c>
      <c r="L8">
        <f t="shared" si="2"/>
        <v>10</v>
      </c>
      <c r="M8">
        <v>0</v>
      </c>
      <c r="N8">
        <v>1</v>
      </c>
      <c r="O8">
        <v>0</v>
      </c>
      <c r="P8">
        <v>0</v>
      </c>
      <c r="Q8">
        <v>114.29</v>
      </c>
      <c r="R8" t="s">
        <v>53</v>
      </c>
      <c r="S8">
        <v>7</v>
      </c>
      <c r="T8">
        <v>2</v>
      </c>
      <c r="U8">
        <v>1</v>
      </c>
      <c r="V8">
        <v>1</v>
      </c>
      <c r="W8">
        <v>2</v>
      </c>
      <c r="X8">
        <v>0</v>
      </c>
      <c r="Y8">
        <v>3</v>
      </c>
      <c r="Z8">
        <v>0</v>
      </c>
      <c r="AA8" t="s">
        <v>61</v>
      </c>
      <c r="AB8" t="s">
        <v>56</v>
      </c>
      <c r="AC8" t="s">
        <v>84</v>
      </c>
    </row>
    <row r="9" spans="1:30" x14ac:dyDescent="0.3">
      <c r="A9" t="s">
        <v>89</v>
      </c>
      <c r="B9" s="2">
        <v>43847</v>
      </c>
      <c r="C9" t="s">
        <v>82</v>
      </c>
      <c r="D9" t="s">
        <v>90</v>
      </c>
      <c r="E9" t="s">
        <v>67</v>
      </c>
      <c r="F9" t="s">
        <v>52</v>
      </c>
      <c r="G9">
        <v>1</v>
      </c>
      <c r="H9">
        <v>1</v>
      </c>
      <c r="I9">
        <f t="shared" si="3"/>
        <v>78</v>
      </c>
      <c r="J9">
        <v>76</v>
      </c>
      <c r="K9">
        <v>21</v>
      </c>
      <c r="L9">
        <f>I9-(M9*4+N9*6)</f>
        <v>54</v>
      </c>
      <c r="M9">
        <v>6</v>
      </c>
      <c r="N9">
        <v>0</v>
      </c>
      <c r="O9">
        <v>1</v>
      </c>
      <c r="P9">
        <v>0</v>
      </c>
      <c r="Q9">
        <v>102.63</v>
      </c>
      <c r="R9" t="s">
        <v>91</v>
      </c>
      <c r="S9">
        <v>14</v>
      </c>
      <c r="T9">
        <v>9</v>
      </c>
      <c r="U9">
        <v>20</v>
      </c>
      <c r="V9">
        <v>6</v>
      </c>
      <c r="W9">
        <v>5</v>
      </c>
      <c r="X9">
        <v>5</v>
      </c>
      <c r="Y9">
        <v>6</v>
      </c>
      <c r="Z9">
        <v>13</v>
      </c>
      <c r="AA9" t="s">
        <v>61</v>
      </c>
      <c r="AB9" t="s">
        <v>56</v>
      </c>
      <c r="AC9" t="s">
        <v>84</v>
      </c>
    </row>
    <row r="10" spans="1:30" x14ac:dyDescent="0.3">
      <c r="A10" t="s">
        <v>93</v>
      </c>
      <c r="B10" s="2">
        <v>43849</v>
      </c>
      <c r="C10" t="s">
        <v>82</v>
      </c>
      <c r="D10" t="s">
        <v>95</v>
      </c>
      <c r="E10" t="s">
        <v>67</v>
      </c>
      <c r="F10" t="s">
        <v>52</v>
      </c>
      <c r="G10">
        <v>1</v>
      </c>
      <c r="H10">
        <v>2</v>
      </c>
      <c r="I10">
        <f t="shared" si="3"/>
        <v>89</v>
      </c>
      <c r="J10">
        <v>91</v>
      </c>
      <c r="K10">
        <v>31</v>
      </c>
      <c r="L10">
        <f>I10-(M10*4+N10*6)</f>
        <v>57</v>
      </c>
      <c r="M10">
        <v>8</v>
      </c>
      <c r="N10">
        <v>0</v>
      </c>
      <c r="O10">
        <v>1</v>
      </c>
      <c r="P10">
        <v>0</v>
      </c>
      <c r="Q10">
        <v>97.8</v>
      </c>
      <c r="R10" t="s">
        <v>53</v>
      </c>
      <c r="S10">
        <v>11</v>
      </c>
      <c r="T10">
        <v>7</v>
      </c>
      <c r="U10">
        <v>15</v>
      </c>
      <c r="V10">
        <v>10</v>
      </c>
      <c r="W10">
        <v>4</v>
      </c>
      <c r="X10">
        <v>6</v>
      </c>
      <c r="Y10">
        <v>10</v>
      </c>
      <c r="Z10">
        <v>26</v>
      </c>
      <c r="AA10" t="s">
        <v>58</v>
      </c>
      <c r="AB10" t="s">
        <v>56</v>
      </c>
      <c r="AC10" t="s">
        <v>96</v>
      </c>
    </row>
    <row r="11" spans="1:30" x14ac:dyDescent="0.3">
      <c r="A11" t="s">
        <v>99</v>
      </c>
      <c r="B11" s="2">
        <v>43866</v>
      </c>
      <c r="C11" t="s">
        <v>94</v>
      </c>
      <c r="D11" t="s">
        <v>100</v>
      </c>
      <c r="E11" t="s">
        <v>94</v>
      </c>
      <c r="F11" t="s">
        <v>52</v>
      </c>
      <c r="G11">
        <v>1</v>
      </c>
      <c r="H11">
        <v>1</v>
      </c>
      <c r="I11">
        <f t="shared" si="3"/>
        <v>51</v>
      </c>
      <c r="J11">
        <v>63</v>
      </c>
      <c r="K11">
        <v>30</v>
      </c>
      <c r="L11">
        <f>I11-(M11*4+N11*6)</f>
        <v>27</v>
      </c>
      <c r="M11">
        <v>6</v>
      </c>
      <c r="N11">
        <v>0</v>
      </c>
      <c r="O11">
        <v>1</v>
      </c>
      <c r="P11">
        <v>0</v>
      </c>
      <c r="Q11">
        <v>80.95</v>
      </c>
      <c r="R11" t="s">
        <v>53</v>
      </c>
      <c r="S11">
        <v>8</v>
      </c>
      <c r="T11">
        <v>6</v>
      </c>
      <c r="U11">
        <v>14</v>
      </c>
      <c r="V11">
        <v>8</v>
      </c>
      <c r="W11">
        <v>6</v>
      </c>
      <c r="X11">
        <v>1</v>
      </c>
      <c r="Y11">
        <v>1</v>
      </c>
      <c r="Z11">
        <v>7</v>
      </c>
      <c r="AA11" t="s">
        <v>58</v>
      </c>
      <c r="AB11" t="s">
        <v>54</v>
      </c>
      <c r="AC11" t="s">
        <v>101</v>
      </c>
    </row>
    <row r="12" spans="1:30" x14ac:dyDescent="0.3">
      <c r="A12" t="s">
        <v>103</v>
      </c>
      <c r="B12" s="2">
        <v>43869</v>
      </c>
      <c r="C12" t="s">
        <v>94</v>
      </c>
      <c r="D12" t="s">
        <v>104</v>
      </c>
      <c r="E12" t="s">
        <v>94</v>
      </c>
      <c r="F12" t="s">
        <v>52</v>
      </c>
      <c r="G12">
        <v>1</v>
      </c>
      <c r="H12">
        <v>2</v>
      </c>
      <c r="I12">
        <f t="shared" si="3"/>
        <v>15</v>
      </c>
      <c r="J12">
        <v>25</v>
      </c>
      <c r="K12">
        <v>16</v>
      </c>
      <c r="L12">
        <f>I12-(M12*4+N12*6)</f>
        <v>11</v>
      </c>
      <c r="M12">
        <v>1</v>
      </c>
      <c r="N12">
        <v>0</v>
      </c>
      <c r="O12">
        <v>0</v>
      </c>
      <c r="P12">
        <v>0</v>
      </c>
      <c r="Q12">
        <v>60</v>
      </c>
      <c r="R12" t="s">
        <v>53</v>
      </c>
      <c r="S12">
        <v>0</v>
      </c>
      <c r="T12">
        <v>1</v>
      </c>
      <c r="U12">
        <v>0</v>
      </c>
      <c r="V12">
        <v>1</v>
      </c>
      <c r="W12">
        <v>2</v>
      </c>
      <c r="X12">
        <v>5</v>
      </c>
      <c r="Y12">
        <v>2</v>
      </c>
      <c r="Z12">
        <v>4</v>
      </c>
      <c r="AA12" t="s">
        <v>58</v>
      </c>
      <c r="AB12" t="s">
        <v>56</v>
      </c>
      <c r="AC12" t="s">
        <v>102</v>
      </c>
    </row>
    <row r="13" spans="1:30" x14ac:dyDescent="0.3">
      <c r="A13" t="s">
        <v>107</v>
      </c>
      <c r="B13" s="2">
        <v>43872</v>
      </c>
      <c r="C13" t="s">
        <v>94</v>
      </c>
      <c r="D13" t="s">
        <v>108</v>
      </c>
      <c r="E13" t="s">
        <v>94</v>
      </c>
      <c r="F13" t="s">
        <v>68</v>
      </c>
      <c r="G13">
        <v>1</v>
      </c>
      <c r="H13">
        <v>1</v>
      </c>
      <c r="I13">
        <f t="shared" si="3"/>
        <v>9</v>
      </c>
      <c r="J13">
        <v>12</v>
      </c>
      <c r="K13">
        <v>8</v>
      </c>
      <c r="L13">
        <f>I13-(M13*4+N13*6)</f>
        <v>3</v>
      </c>
      <c r="M13">
        <v>0</v>
      </c>
      <c r="N13">
        <v>1</v>
      </c>
      <c r="O13">
        <v>0</v>
      </c>
      <c r="P13">
        <v>0</v>
      </c>
      <c r="Q13">
        <v>75</v>
      </c>
      <c r="R13" t="s">
        <v>53</v>
      </c>
      <c r="S13">
        <v>6</v>
      </c>
      <c r="T13">
        <v>0</v>
      </c>
      <c r="U13">
        <v>0</v>
      </c>
      <c r="V13">
        <v>0</v>
      </c>
      <c r="W13">
        <v>2</v>
      </c>
      <c r="X13">
        <v>1</v>
      </c>
      <c r="Y13">
        <v>0</v>
      </c>
      <c r="Z13">
        <v>0</v>
      </c>
      <c r="AA13" t="s">
        <v>61</v>
      </c>
      <c r="AB13" t="s">
        <v>111</v>
      </c>
      <c r="AC13" t="s">
        <v>110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6094-04FA-4BB6-8EC0-D7D2E4370DB1}">
  <dimension ref="A1:AD10"/>
  <sheetViews>
    <sheetView zoomScaleNormal="100" workbookViewId="0">
      <selection activeCell="I8" sqref="I8"/>
    </sheetView>
  </sheetViews>
  <sheetFormatPr defaultRowHeight="14.4" x14ac:dyDescent="0.3"/>
  <cols>
    <col min="1" max="1" width="11.6640625" customWidth="1"/>
    <col min="2" max="2" width="11.33203125" bestFit="1" customWidth="1"/>
    <col min="3" max="3" width="11.109375" bestFit="1" customWidth="1"/>
    <col min="4" max="4" width="15.21875" bestFit="1" customWidth="1"/>
    <col min="5" max="5" width="12.5546875" customWidth="1"/>
    <col min="6" max="6" width="12.5546875" bestFit="1" customWidth="1"/>
    <col min="7" max="7" width="11.33203125" bestFit="1" customWidth="1"/>
    <col min="8" max="8" width="10.77734375" bestFit="1" customWidth="1"/>
    <col min="9" max="9" width="5.5546875" bestFit="1" customWidth="1"/>
    <col min="10" max="10" width="11.109375" bestFit="1" customWidth="1"/>
    <col min="11" max="11" width="5.21875" bestFit="1" customWidth="1"/>
    <col min="18" max="18" width="13.88671875" customWidth="1"/>
    <col min="19" max="19" width="13.21875" bestFit="1" customWidth="1"/>
    <col min="20" max="20" width="14.21875" customWidth="1"/>
    <col min="21" max="21" width="12.5546875" customWidth="1"/>
    <col min="22" max="22" width="13" customWidth="1"/>
    <col min="23" max="23" width="14.77734375" customWidth="1"/>
    <col min="24" max="24" width="13.21875" customWidth="1"/>
    <col min="25" max="25" width="12.88671875" customWidth="1"/>
    <col min="26" max="26" width="12.6640625" customWidth="1"/>
    <col min="27" max="27" width="13.33203125" customWidth="1"/>
    <col min="28" max="28" width="19.33203125" customWidth="1"/>
    <col min="29" max="29" width="19.5546875" customWidth="1"/>
  </cols>
  <sheetData>
    <row r="1" spans="1:30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45</v>
      </c>
      <c r="H1" s="1" t="s">
        <v>18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17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19</v>
      </c>
      <c r="AB1" s="1" t="s">
        <v>20</v>
      </c>
      <c r="AC1" s="1" t="s">
        <v>21</v>
      </c>
      <c r="AD1" s="1"/>
    </row>
    <row r="2" spans="1:30" x14ac:dyDescent="0.3">
      <c r="A2" t="s">
        <v>40</v>
      </c>
      <c r="B2" s="2">
        <v>43685</v>
      </c>
      <c r="C2" t="s">
        <v>41</v>
      </c>
      <c r="D2" t="s">
        <v>42</v>
      </c>
      <c r="E2" t="s">
        <v>41</v>
      </c>
      <c r="F2" t="s">
        <v>43</v>
      </c>
      <c r="G2">
        <v>0</v>
      </c>
      <c r="H2">
        <v>0</v>
      </c>
      <c r="I2">
        <f t="shared" ref="I2:I3" si="0">S2+T2+U2+V2+W2+X2+Y2+Z2</f>
        <v>0</v>
      </c>
      <c r="J2">
        <v>0</v>
      </c>
      <c r="K2">
        <v>0</v>
      </c>
      <c r="L2">
        <f t="shared" ref="L2:L5" si="1">I2-(M2*4+N2*6)</f>
        <v>0</v>
      </c>
      <c r="M2">
        <v>0</v>
      </c>
      <c r="N2">
        <v>0</v>
      </c>
      <c r="O2">
        <v>0</v>
      </c>
      <c r="P2">
        <v>0</v>
      </c>
      <c r="Q2">
        <v>0</v>
      </c>
      <c r="R2" t="s">
        <v>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46</v>
      </c>
      <c r="AB2" t="s">
        <v>46</v>
      </c>
      <c r="AC2" t="s">
        <v>46</v>
      </c>
    </row>
    <row r="3" spans="1:30" x14ac:dyDescent="0.3">
      <c r="A3" t="s">
        <v>44</v>
      </c>
      <c r="B3" s="2">
        <v>43688</v>
      </c>
      <c r="C3" t="s">
        <v>41</v>
      </c>
      <c r="D3" t="s">
        <v>51</v>
      </c>
      <c r="E3" t="s">
        <v>41</v>
      </c>
      <c r="F3" t="s">
        <v>52</v>
      </c>
      <c r="G3">
        <v>1</v>
      </c>
      <c r="H3">
        <v>1</v>
      </c>
      <c r="I3">
        <f t="shared" si="0"/>
        <v>18</v>
      </c>
      <c r="J3">
        <v>34</v>
      </c>
      <c r="K3">
        <v>24</v>
      </c>
      <c r="L3">
        <f t="shared" si="1"/>
        <v>10</v>
      </c>
      <c r="M3">
        <v>2</v>
      </c>
      <c r="N3">
        <v>0</v>
      </c>
      <c r="O3">
        <v>0</v>
      </c>
      <c r="P3">
        <v>0</v>
      </c>
      <c r="Q3">
        <v>52.94</v>
      </c>
      <c r="R3" t="s">
        <v>53</v>
      </c>
      <c r="S3">
        <v>0</v>
      </c>
      <c r="T3">
        <v>4</v>
      </c>
      <c r="U3">
        <v>3</v>
      </c>
      <c r="V3">
        <v>1</v>
      </c>
      <c r="W3">
        <v>0</v>
      </c>
      <c r="X3">
        <v>3</v>
      </c>
      <c r="Y3">
        <v>2</v>
      </c>
      <c r="Z3">
        <v>5</v>
      </c>
      <c r="AA3" t="s">
        <v>61</v>
      </c>
      <c r="AB3" t="s">
        <v>56</v>
      </c>
      <c r="AC3" t="s">
        <v>57</v>
      </c>
    </row>
    <row r="4" spans="1:30" x14ac:dyDescent="0.3">
      <c r="A4" t="s">
        <v>62</v>
      </c>
      <c r="B4" s="2">
        <v>43689</v>
      </c>
      <c r="C4" t="s">
        <v>41</v>
      </c>
      <c r="D4" t="s">
        <v>51</v>
      </c>
      <c r="E4" t="s">
        <v>41</v>
      </c>
      <c r="F4" t="s">
        <v>52</v>
      </c>
      <c r="G4">
        <v>1</v>
      </c>
      <c r="H4">
        <v>2</v>
      </c>
      <c r="I4">
        <f t="shared" ref="I4:I10" si="2">S4+T4+U4+V4+W4+X4+Y4+Z4</f>
        <v>10</v>
      </c>
      <c r="J4">
        <v>6</v>
      </c>
      <c r="K4">
        <v>2</v>
      </c>
      <c r="L4">
        <f t="shared" si="1"/>
        <v>2</v>
      </c>
      <c r="M4">
        <v>2</v>
      </c>
      <c r="N4">
        <v>0</v>
      </c>
      <c r="O4">
        <v>0</v>
      </c>
      <c r="P4">
        <v>0</v>
      </c>
      <c r="Q4">
        <v>166.67</v>
      </c>
      <c r="R4" t="s">
        <v>53</v>
      </c>
      <c r="S4">
        <v>0</v>
      </c>
      <c r="T4">
        <v>0</v>
      </c>
      <c r="U4">
        <v>0</v>
      </c>
      <c r="V4">
        <v>1</v>
      </c>
      <c r="W4">
        <v>4</v>
      </c>
      <c r="X4">
        <v>0</v>
      </c>
      <c r="Y4">
        <v>0</v>
      </c>
      <c r="Z4">
        <v>5</v>
      </c>
      <c r="AA4" t="s">
        <v>63</v>
      </c>
      <c r="AB4" t="s">
        <v>46</v>
      </c>
      <c r="AC4" t="s">
        <v>46</v>
      </c>
    </row>
    <row r="5" spans="1:30" x14ac:dyDescent="0.3">
      <c r="A5" t="s">
        <v>65</v>
      </c>
      <c r="B5" s="2">
        <v>43814</v>
      </c>
      <c r="C5" t="s">
        <v>41</v>
      </c>
      <c r="D5" t="s">
        <v>66</v>
      </c>
      <c r="E5" t="s">
        <v>67</v>
      </c>
      <c r="F5" t="s">
        <v>68</v>
      </c>
      <c r="G5">
        <v>1</v>
      </c>
      <c r="H5">
        <v>1</v>
      </c>
      <c r="I5">
        <f t="shared" si="2"/>
        <v>36</v>
      </c>
      <c r="J5">
        <v>58</v>
      </c>
      <c r="K5">
        <v>41</v>
      </c>
      <c r="L5">
        <f t="shared" si="1"/>
        <v>12</v>
      </c>
      <c r="M5">
        <v>6</v>
      </c>
      <c r="N5">
        <v>0</v>
      </c>
      <c r="O5">
        <v>0</v>
      </c>
      <c r="P5">
        <v>0</v>
      </c>
      <c r="Q5">
        <v>64.290000000000006</v>
      </c>
      <c r="R5" t="s">
        <v>53</v>
      </c>
      <c r="S5">
        <v>9</v>
      </c>
      <c r="T5">
        <v>3</v>
      </c>
      <c r="U5">
        <v>4</v>
      </c>
      <c r="V5">
        <v>6</v>
      </c>
      <c r="W5">
        <v>2</v>
      </c>
      <c r="X5">
        <v>6</v>
      </c>
      <c r="Y5">
        <v>6</v>
      </c>
      <c r="Z5">
        <v>0</v>
      </c>
      <c r="AA5" t="s">
        <v>61</v>
      </c>
      <c r="AB5" t="s">
        <v>71</v>
      </c>
      <c r="AC5" t="s">
        <v>72</v>
      </c>
    </row>
    <row r="6" spans="1:30" x14ac:dyDescent="0.3">
      <c r="A6" t="s">
        <v>73</v>
      </c>
      <c r="B6" s="2">
        <v>43817</v>
      </c>
      <c r="C6" t="s">
        <v>41</v>
      </c>
      <c r="D6" t="s">
        <v>74</v>
      </c>
      <c r="E6" t="s">
        <v>67</v>
      </c>
      <c r="F6" t="s">
        <v>52</v>
      </c>
      <c r="G6">
        <v>1</v>
      </c>
      <c r="H6">
        <v>1</v>
      </c>
      <c r="I6">
        <f t="shared" si="2"/>
        <v>159</v>
      </c>
      <c r="J6">
        <v>138</v>
      </c>
      <c r="K6">
        <v>61</v>
      </c>
      <c r="L6">
        <f>I6-(M6*4+N6*6)</f>
        <v>61</v>
      </c>
      <c r="M6">
        <v>17</v>
      </c>
      <c r="N6">
        <v>5</v>
      </c>
      <c r="O6">
        <v>0</v>
      </c>
      <c r="P6">
        <v>1</v>
      </c>
      <c r="Q6">
        <v>115.22</v>
      </c>
      <c r="R6" t="s">
        <v>53</v>
      </c>
      <c r="S6">
        <v>26</v>
      </c>
      <c r="T6">
        <v>13</v>
      </c>
      <c r="U6">
        <v>28</v>
      </c>
      <c r="V6">
        <v>7</v>
      </c>
      <c r="W6">
        <v>14</v>
      </c>
      <c r="X6">
        <v>36</v>
      </c>
      <c r="Y6">
        <v>21</v>
      </c>
      <c r="Z6">
        <v>14</v>
      </c>
      <c r="AA6" t="s">
        <v>61</v>
      </c>
      <c r="AB6" t="s">
        <v>70</v>
      </c>
      <c r="AC6" t="s">
        <v>69</v>
      </c>
    </row>
    <row r="7" spans="1:30" x14ac:dyDescent="0.3">
      <c r="A7" t="s">
        <v>78</v>
      </c>
      <c r="B7" s="2">
        <v>43821</v>
      </c>
      <c r="C7" t="s">
        <v>41</v>
      </c>
      <c r="D7" t="s">
        <v>79</v>
      </c>
      <c r="E7" t="s">
        <v>67</v>
      </c>
      <c r="F7" t="s">
        <v>52</v>
      </c>
      <c r="G7">
        <v>1</v>
      </c>
      <c r="H7">
        <v>2</v>
      </c>
      <c r="I7">
        <f t="shared" si="2"/>
        <v>63</v>
      </c>
      <c r="J7">
        <v>63</v>
      </c>
      <c r="K7">
        <v>30</v>
      </c>
      <c r="L7">
        <f>I7-(M7*4+N7*6)</f>
        <v>25</v>
      </c>
      <c r="M7">
        <v>8</v>
      </c>
      <c r="N7">
        <v>1</v>
      </c>
      <c r="O7">
        <v>1</v>
      </c>
      <c r="P7">
        <v>0</v>
      </c>
      <c r="Q7">
        <v>100</v>
      </c>
      <c r="R7" t="s">
        <v>53</v>
      </c>
      <c r="S7">
        <v>9</v>
      </c>
      <c r="T7">
        <v>2</v>
      </c>
      <c r="U7">
        <v>11</v>
      </c>
      <c r="V7">
        <v>4</v>
      </c>
      <c r="W7">
        <v>6</v>
      </c>
      <c r="X7">
        <v>9</v>
      </c>
      <c r="Y7">
        <v>12</v>
      </c>
      <c r="Z7">
        <v>10</v>
      </c>
      <c r="AA7" t="s">
        <v>61</v>
      </c>
      <c r="AB7" t="s">
        <v>70</v>
      </c>
      <c r="AC7" t="s">
        <v>59</v>
      </c>
    </row>
    <row r="8" spans="1:30" x14ac:dyDescent="0.3">
      <c r="A8" t="s">
        <v>81</v>
      </c>
      <c r="B8" s="2">
        <v>43844</v>
      </c>
      <c r="C8" t="s">
        <v>85</v>
      </c>
      <c r="D8" t="s">
        <v>83</v>
      </c>
      <c r="E8" t="s">
        <v>67</v>
      </c>
      <c r="F8" t="s">
        <v>68</v>
      </c>
      <c r="G8">
        <v>1</v>
      </c>
      <c r="H8">
        <v>1</v>
      </c>
      <c r="I8">
        <f t="shared" si="2"/>
        <v>10</v>
      </c>
      <c r="J8">
        <v>15</v>
      </c>
      <c r="K8">
        <v>11</v>
      </c>
      <c r="L8">
        <f>I8-(M8*4+N8*6)</f>
        <v>2</v>
      </c>
      <c r="M8">
        <v>2</v>
      </c>
      <c r="N8">
        <v>0</v>
      </c>
      <c r="O8">
        <v>0</v>
      </c>
      <c r="P8">
        <v>0</v>
      </c>
      <c r="Q8">
        <v>66.67</v>
      </c>
      <c r="R8" t="s">
        <v>53</v>
      </c>
      <c r="S8">
        <v>0</v>
      </c>
      <c r="T8">
        <v>0</v>
      </c>
      <c r="U8">
        <v>8</v>
      </c>
      <c r="V8">
        <v>0</v>
      </c>
      <c r="W8">
        <v>0</v>
      </c>
      <c r="X8">
        <v>1</v>
      </c>
      <c r="Y8">
        <v>1</v>
      </c>
      <c r="Z8">
        <v>0</v>
      </c>
      <c r="AA8" t="s">
        <v>61</v>
      </c>
      <c r="AB8" t="s">
        <v>56</v>
      </c>
      <c r="AC8" t="s">
        <v>86</v>
      </c>
    </row>
    <row r="9" spans="1:30" x14ac:dyDescent="0.3">
      <c r="A9" t="s">
        <v>89</v>
      </c>
      <c r="B9" s="2">
        <v>43847</v>
      </c>
      <c r="C9" t="s">
        <v>85</v>
      </c>
      <c r="D9" t="s">
        <v>90</v>
      </c>
      <c r="E9" t="s">
        <v>67</v>
      </c>
      <c r="F9" t="s">
        <v>52</v>
      </c>
      <c r="G9">
        <v>1</v>
      </c>
      <c r="H9">
        <v>1</v>
      </c>
      <c r="I9">
        <f t="shared" si="2"/>
        <v>42</v>
      </c>
      <c r="J9">
        <v>44</v>
      </c>
      <c r="K9">
        <v>23</v>
      </c>
      <c r="L9">
        <f>I9-(M9*4+N9*6)</f>
        <v>18</v>
      </c>
      <c r="M9">
        <v>6</v>
      </c>
      <c r="N9">
        <v>0</v>
      </c>
      <c r="O9">
        <v>0</v>
      </c>
      <c r="P9">
        <v>0</v>
      </c>
      <c r="Q9">
        <v>95.45</v>
      </c>
      <c r="R9" t="s">
        <v>53</v>
      </c>
      <c r="S9">
        <v>4</v>
      </c>
      <c r="T9">
        <v>3</v>
      </c>
      <c r="U9">
        <v>2</v>
      </c>
      <c r="V9">
        <v>10</v>
      </c>
      <c r="W9">
        <v>3</v>
      </c>
      <c r="X9">
        <v>4</v>
      </c>
      <c r="Y9">
        <v>9</v>
      </c>
      <c r="Z9">
        <v>7</v>
      </c>
      <c r="AA9" t="s">
        <v>92</v>
      </c>
      <c r="AB9" t="s">
        <v>56</v>
      </c>
      <c r="AC9" t="s">
        <v>84</v>
      </c>
    </row>
    <row r="10" spans="1:30" x14ac:dyDescent="0.3">
      <c r="A10" t="s">
        <v>93</v>
      </c>
      <c r="B10" s="2">
        <v>43849</v>
      </c>
      <c r="C10" t="s">
        <v>85</v>
      </c>
      <c r="D10" t="s">
        <v>97</v>
      </c>
      <c r="E10" t="s">
        <v>67</v>
      </c>
      <c r="F10" t="s">
        <v>52</v>
      </c>
      <c r="G10">
        <v>1</v>
      </c>
      <c r="H10">
        <v>2</v>
      </c>
      <c r="I10">
        <f t="shared" si="2"/>
        <v>119</v>
      </c>
      <c r="J10">
        <v>128</v>
      </c>
      <c r="K10">
        <v>68</v>
      </c>
      <c r="L10">
        <f>I10-(M10*4+N10*6)</f>
        <v>51</v>
      </c>
      <c r="M10">
        <v>8</v>
      </c>
      <c r="N10">
        <v>6</v>
      </c>
      <c r="O10">
        <v>0</v>
      </c>
      <c r="P10">
        <v>1</v>
      </c>
      <c r="Q10">
        <v>92.97</v>
      </c>
      <c r="R10" t="s">
        <v>53</v>
      </c>
      <c r="S10">
        <v>12</v>
      </c>
      <c r="T10">
        <v>13</v>
      </c>
      <c r="U10">
        <v>8</v>
      </c>
      <c r="V10">
        <v>25</v>
      </c>
      <c r="W10">
        <v>15</v>
      </c>
      <c r="X10">
        <v>9</v>
      </c>
      <c r="Y10">
        <v>8</v>
      </c>
      <c r="Z10">
        <v>29</v>
      </c>
      <c r="AA10" t="s">
        <v>61</v>
      </c>
      <c r="AB10" t="s">
        <v>56</v>
      </c>
      <c r="AC10" t="s">
        <v>84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0154D-4AE8-4EC6-AEA7-3458939378DB}">
  <dimension ref="A1:AD10"/>
  <sheetViews>
    <sheetView workbookViewId="0">
      <selection activeCell="K6" sqref="K6"/>
    </sheetView>
  </sheetViews>
  <sheetFormatPr defaultRowHeight="14.4" x14ac:dyDescent="0.3"/>
  <cols>
    <col min="1" max="1" width="11" bestFit="1" customWidth="1"/>
    <col min="2" max="2" width="11.33203125" bestFit="1" customWidth="1"/>
    <col min="3" max="3" width="11.6640625" bestFit="1" customWidth="1"/>
    <col min="4" max="4" width="15.5546875" bestFit="1" customWidth="1"/>
    <col min="5" max="5" width="11.6640625" bestFit="1" customWidth="1"/>
    <col min="6" max="6" width="12.5546875" bestFit="1" customWidth="1"/>
    <col min="7" max="7" width="11.33203125" bestFit="1" customWidth="1"/>
    <col min="8" max="8" width="10.77734375" bestFit="1" customWidth="1"/>
    <col min="10" max="10" width="11.109375" bestFit="1" customWidth="1"/>
    <col min="17" max="17" width="11.33203125" bestFit="1" customWidth="1"/>
    <col min="19" max="19" width="13.21875" bestFit="1" customWidth="1"/>
    <col min="20" max="20" width="13.44140625" bestFit="1" customWidth="1"/>
    <col min="21" max="21" width="12.88671875" bestFit="1" customWidth="1"/>
    <col min="22" max="22" width="11.109375" bestFit="1" customWidth="1"/>
    <col min="23" max="23" width="14.88671875" bestFit="1" customWidth="1"/>
    <col min="24" max="24" width="13.21875" bestFit="1" customWidth="1"/>
    <col min="25" max="25" width="12.6640625" bestFit="1" customWidth="1"/>
    <col min="26" max="26" width="12.88671875" bestFit="1" customWidth="1"/>
    <col min="27" max="27" width="13" bestFit="1" customWidth="1"/>
    <col min="28" max="28" width="16.6640625" bestFit="1" customWidth="1"/>
    <col min="29" max="29" width="19.6640625" bestFit="1" customWidth="1"/>
  </cols>
  <sheetData>
    <row r="1" spans="1:30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45</v>
      </c>
      <c r="H1" s="1" t="s">
        <v>18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17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19</v>
      </c>
      <c r="AB1" s="1" t="s">
        <v>20</v>
      </c>
      <c r="AC1" s="1" t="s">
        <v>21</v>
      </c>
      <c r="AD1" s="1"/>
    </row>
    <row r="2" spans="1:30" x14ac:dyDescent="0.3">
      <c r="A2" t="s">
        <v>65</v>
      </c>
      <c r="B2" s="2">
        <v>43814</v>
      </c>
      <c r="C2" t="s">
        <v>41</v>
      </c>
      <c r="D2" t="s">
        <v>66</v>
      </c>
      <c r="E2" t="s">
        <v>67</v>
      </c>
      <c r="F2" t="s">
        <v>68</v>
      </c>
      <c r="G2">
        <v>1</v>
      </c>
      <c r="H2">
        <v>1</v>
      </c>
      <c r="I2">
        <f t="shared" ref="I2:I10" si="0">S2+T2+U2+V2+W2+X2+Y2+Z2</f>
        <v>6</v>
      </c>
      <c r="J2">
        <v>15</v>
      </c>
      <c r="K2">
        <v>12</v>
      </c>
      <c r="L2">
        <f t="shared" ref="L2:L10" si="1">I2-(M2*4+N2*6)</f>
        <v>2</v>
      </c>
      <c r="M2">
        <v>1</v>
      </c>
      <c r="N2">
        <v>0</v>
      </c>
      <c r="O2">
        <v>0</v>
      </c>
      <c r="P2">
        <v>0</v>
      </c>
      <c r="Q2">
        <v>40</v>
      </c>
      <c r="R2" t="s">
        <v>53</v>
      </c>
      <c r="S2">
        <v>0</v>
      </c>
      <c r="T2">
        <v>0</v>
      </c>
      <c r="U2">
        <v>0</v>
      </c>
      <c r="V2">
        <v>5</v>
      </c>
      <c r="W2">
        <v>0</v>
      </c>
      <c r="X2">
        <v>0</v>
      </c>
      <c r="Y2">
        <v>0</v>
      </c>
      <c r="Z2">
        <v>1</v>
      </c>
      <c r="AA2" t="s">
        <v>61</v>
      </c>
      <c r="AB2" t="s">
        <v>70</v>
      </c>
      <c r="AC2" t="s">
        <v>69</v>
      </c>
    </row>
    <row r="3" spans="1:30" x14ac:dyDescent="0.3">
      <c r="A3" t="s">
        <v>73</v>
      </c>
      <c r="B3" s="2">
        <v>43817</v>
      </c>
      <c r="C3" t="s">
        <v>41</v>
      </c>
      <c r="D3" t="s">
        <v>74</v>
      </c>
      <c r="E3" t="s">
        <v>67</v>
      </c>
      <c r="F3" t="s">
        <v>52</v>
      </c>
      <c r="G3">
        <v>1</v>
      </c>
      <c r="H3">
        <v>1</v>
      </c>
      <c r="I3">
        <f t="shared" si="0"/>
        <v>102</v>
      </c>
      <c r="J3">
        <v>104</v>
      </c>
      <c r="K3">
        <v>47</v>
      </c>
      <c r="L3">
        <f t="shared" si="1"/>
        <v>52</v>
      </c>
      <c r="M3">
        <v>8</v>
      </c>
      <c r="N3">
        <v>3</v>
      </c>
      <c r="O3">
        <v>0</v>
      </c>
      <c r="P3">
        <v>1</v>
      </c>
      <c r="Q3">
        <v>98.08</v>
      </c>
      <c r="R3" t="s">
        <v>53</v>
      </c>
      <c r="S3">
        <v>8</v>
      </c>
      <c r="T3">
        <v>3</v>
      </c>
      <c r="U3">
        <v>14</v>
      </c>
      <c r="V3">
        <v>27</v>
      </c>
      <c r="W3">
        <v>14</v>
      </c>
      <c r="X3">
        <v>5</v>
      </c>
      <c r="Y3">
        <v>7</v>
      </c>
      <c r="Z3">
        <v>24</v>
      </c>
      <c r="AA3" t="s">
        <v>61</v>
      </c>
      <c r="AB3" t="s">
        <v>56</v>
      </c>
      <c r="AC3" t="s">
        <v>72</v>
      </c>
    </row>
    <row r="4" spans="1:30" x14ac:dyDescent="0.3">
      <c r="A4" t="s">
        <v>78</v>
      </c>
      <c r="B4" s="2">
        <v>43821</v>
      </c>
      <c r="C4" t="s">
        <v>41</v>
      </c>
      <c r="D4" t="s">
        <v>79</v>
      </c>
      <c r="E4" t="s">
        <v>67</v>
      </c>
      <c r="F4" t="s">
        <v>52</v>
      </c>
      <c r="G4">
        <v>1</v>
      </c>
      <c r="H4">
        <v>2</v>
      </c>
      <c r="I4">
        <f t="shared" si="0"/>
        <v>77</v>
      </c>
      <c r="J4">
        <v>89</v>
      </c>
      <c r="K4">
        <v>43</v>
      </c>
      <c r="L4">
        <f t="shared" si="1"/>
        <v>39</v>
      </c>
      <c r="M4">
        <v>8</v>
      </c>
      <c r="N4">
        <v>1</v>
      </c>
      <c r="O4">
        <v>1</v>
      </c>
      <c r="P4">
        <v>0</v>
      </c>
      <c r="Q4">
        <v>86.52</v>
      </c>
      <c r="R4" t="s">
        <v>53</v>
      </c>
      <c r="S4">
        <v>12</v>
      </c>
      <c r="T4">
        <v>9</v>
      </c>
      <c r="U4">
        <v>8</v>
      </c>
      <c r="V4">
        <v>9</v>
      </c>
      <c r="W4">
        <v>9</v>
      </c>
      <c r="X4">
        <v>11</v>
      </c>
      <c r="Y4">
        <v>17</v>
      </c>
      <c r="Z4">
        <v>2</v>
      </c>
      <c r="AA4" t="s">
        <v>61</v>
      </c>
      <c r="AB4" t="s">
        <v>71</v>
      </c>
      <c r="AC4" t="s">
        <v>72</v>
      </c>
    </row>
    <row r="5" spans="1:30" x14ac:dyDescent="0.3">
      <c r="A5" t="s">
        <v>81</v>
      </c>
      <c r="B5" s="2">
        <v>43844</v>
      </c>
      <c r="C5" t="s">
        <v>85</v>
      </c>
      <c r="D5" t="s">
        <v>83</v>
      </c>
      <c r="E5" t="s">
        <v>67</v>
      </c>
      <c r="F5" t="s">
        <v>68</v>
      </c>
      <c r="G5">
        <v>1</v>
      </c>
      <c r="H5">
        <v>1</v>
      </c>
      <c r="I5">
        <f t="shared" si="0"/>
        <v>47</v>
      </c>
      <c r="J5">
        <v>61</v>
      </c>
      <c r="K5">
        <v>28</v>
      </c>
      <c r="L5">
        <f t="shared" si="1"/>
        <v>31</v>
      </c>
      <c r="M5">
        <v>4</v>
      </c>
      <c r="N5">
        <v>0</v>
      </c>
      <c r="O5">
        <v>0</v>
      </c>
      <c r="P5">
        <v>0</v>
      </c>
      <c r="Q5">
        <v>77.05</v>
      </c>
      <c r="R5" t="s">
        <v>53</v>
      </c>
      <c r="S5">
        <v>4</v>
      </c>
      <c r="T5">
        <v>3</v>
      </c>
      <c r="U5">
        <v>11</v>
      </c>
      <c r="V5">
        <v>11</v>
      </c>
      <c r="W5">
        <v>1</v>
      </c>
      <c r="X5">
        <v>13</v>
      </c>
      <c r="Y5">
        <v>3</v>
      </c>
      <c r="Z5">
        <v>1</v>
      </c>
      <c r="AA5" t="s">
        <v>61</v>
      </c>
      <c r="AB5" t="s">
        <v>70</v>
      </c>
      <c r="AC5" t="s">
        <v>87</v>
      </c>
    </row>
    <row r="6" spans="1:30" x14ac:dyDescent="0.3">
      <c r="A6" t="s">
        <v>89</v>
      </c>
      <c r="B6" s="2">
        <v>43847</v>
      </c>
      <c r="C6" t="s">
        <v>85</v>
      </c>
      <c r="D6" t="s">
        <v>90</v>
      </c>
      <c r="E6" t="s">
        <v>67</v>
      </c>
      <c r="F6" t="s">
        <v>52</v>
      </c>
      <c r="G6">
        <v>1</v>
      </c>
      <c r="H6">
        <v>1</v>
      </c>
      <c r="I6">
        <f t="shared" si="0"/>
        <v>80</v>
      </c>
      <c r="J6">
        <v>52</v>
      </c>
      <c r="K6">
        <v>9</v>
      </c>
      <c r="L6">
        <f t="shared" si="1"/>
        <v>38</v>
      </c>
      <c r="M6">
        <v>6</v>
      </c>
      <c r="N6">
        <v>3</v>
      </c>
      <c r="O6">
        <v>1</v>
      </c>
      <c r="P6">
        <v>0</v>
      </c>
      <c r="Q6">
        <v>153.85</v>
      </c>
      <c r="R6" t="s">
        <v>53</v>
      </c>
      <c r="S6">
        <v>6</v>
      </c>
      <c r="T6">
        <v>4</v>
      </c>
      <c r="U6">
        <v>16</v>
      </c>
      <c r="V6">
        <v>21</v>
      </c>
      <c r="W6">
        <v>7</v>
      </c>
      <c r="X6">
        <v>6</v>
      </c>
      <c r="Y6">
        <v>13</v>
      </c>
      <c r="Z6">
        <v>7</v>
      </c>
      <c r="AA6" t="s">
        <v>63</v>
      </c>
      <c r="AB6" t="s">
        <v>46</v>
      </c>
      <c r="AC6" t="s">
        <v>46</v>
      </c>
    </row>
    <row r="7" spans="1:30" x14ac:dyDescent="0.3">
      <c r="A7" t="s">
        <v>93</v>
      </c>
      <c r="B7" s="2">
        <v>43849</v>
      </c>
      <c r="C7" t="s">
        <v>85</v>
      </c>
      <c r="D7" t="s">
        <v>97</v>
      </c>
      <c r="E7" t="s">
        <v>67</v>
      </c>
      <c r="F7" t="s">
        <v>52</v>
      </c>
      <c r="G7">
        <v>1</v>
      </c>
      <c r="H7">
        <v>2</v>
      </c>
      <c r="I7">
        <f t="shared" si="0"/>
        <v>19</v>
      </c>
      <c r="J7">
        <v>27</v>
      </c>
      <c r="K7">
        <v>14</v>
      </c>
      <c r="L7">
        <f t="shared" si="1"/>
        <v>11</v>
      </c>
      <c r="M7">
        <v>2</v>
      </c>
      <c r="N7">
        <v>0</v>
      </c>
      <c r="O7">
        <v>0</v>
      </c>
      <c r="P7">
        <v>0</v>
      </c>
      <c r="Q7">
        <v>70.37</v>
      </c>
      <c r="R7" t="s">
        <v>53</v>
      </c>
      <c r="S7">
        <v>1</v>
      </c>
      <c r="T7">
        <v>1</v>
      </c>
      <c r="U7">
        <v>6</v>
      </c>
      <c r="V7">
        <v>6</v>
      </c>
      <c r="W7">
        <v>1</v>
      </c>
      <c r="X7">
        <v>2</v>
      </c>
      <c r="Y7">
        <v>1</v>
      </c>
      <c r="Z7">
        <v>1</v>
      </c>
      <c r="AA7" t="s">
        <v>92</v>
      </c>
      <c r="AB7" t="s">
        <v>56</v>
      </c>
      <c r="AC7" t="s">
        <v>98</v>
      </c>
    </row>
    <row r="8" spans="1:30" x14ac:dyDescent="0.3">
      <c r="A8" t="s">
        <v>99</v>
      </c>
      <c r="B8" s="2">
        <v>43866</v>
      </c>
      <c r="C8" t="s">
        <v>94</v>
      </c>
      <c r="D8" t="s">
        <v>100</v>
      </c>
      <c r="E8" t="s">
        <v>94</v>
      </c>
      <c r="F8" t="s">
        <v>68</v>
      </c>
      <c r="G8">
        <v>1</v>
      </c>
      <c r="H8">
        <v>1</v>
      </c>
      <c r="I8">
        <f t="shared" si="0"/>
        <v>88</v>
      </c>
      <c r="J8">
        <v>64</v>
      </c>
      <c r="K8">
        <v>19</v>
      </c>
      <c r="L8">
        <f t="shared" si="1"/>
        <v>40</v>
      </c>
      <c r="M8">
        <v>3</v>
      </c>
      <c r="N8">
        <v>6</v>
      </c>
      <c r="O8">
        <v>1</v>
      </c>
      <c r="P8">
        <v>0</v>
      </c>
      <c r="Q8">
        <v>137.5</v>
      </c>
      <c r="R8" t="s">
        <v>60</v>
      </c>
      <c r="S8">
        <v>16</v>
      </c>
      <c r="T8">
        <v>21</v>
      </c>
      <c r="U8">
        <v>10</v>
      </c>
      <c r="V8">
        <v>7</v>
      </c>
      <c r="W8">
        <v>10</v>
      </c>
      <c r="X8">
        <v>7</v>
      </c>
      <c r="Y8">
        <v>5</v>
      </c>
      <c r="Z8">
        <v>12</v>
      </c>
      <c r="AA8" t="s">
        <v>46</v>
      </c>
      <c r="AB8" t="s">
        <v>46</v>
      </c>
      <c r="AC8" t="s">
        <v>46</v>
      </c>
    </row>
    <row r="9" spans="1:30" x14ac:dyDescent="0.3">
      <c r="A9" t="s">
        <v>103</v>
      </c>
      <c r="B9" s="2">
        <v>43869</v>
      </c>
      <c r="C9" t="s">
        <v>94</v>
      </c>
      <c r="D9" t="s">
        <v>104</v>
      </c>
      <c r="E9" t="s">
        <v>94</v>
      </c>
      <c r="F9" t="s">
        <v>68</v>
      </c>
      <c r="G9">
        <v>1</v>
      </c>
      <c r="H9">
        <v>2</v>
      </c>
      <c r="I9">
        <f t="shared" si="0"/>
        <v>4</v>
      </c>
      <c r="J9">
        <v>8</v>
      </c>
      <c r="K9">
        <v>5</v>
      </c>
      <c r="L9">
        <f t="shared" si="1"/>
        <v>4</v>
      </c>
      <c r="M9">
        <v>0</v>
      </c>
      <c r="N9">
        <v>0</v>
      </c>
      <c r="O9">
        <v>0</v>
      </c>
      <c r="P9">
        <v>0</v>
      </c>
      <c r="Q9">
        <v>50</v>
      </c>
      <c r="R9" t="s">
        <v>53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3</v>
      </c>
      <c r="AA9" t="s">
        <v>58</v>
      </c>
      <c r="AB9" t="s">
        <v>70</v>
      </c>
      <c r="AC9" t="s">
        <v>105</v>
      </c>
    </row>
    <row r="10" spans="1:30" x14ac:dyDescent="0.3">
      <c r="A10" t="s">
        <v>107</v>
      </c>
      <c r="B10" s="2">
        <v>43872</v>
      </c>
      <c r="C10" t="s">
        <v>94</v>
      </c>
      <c r="D10" t="s">
        <v>108</v>
      </c>
      <c r="E10" t="s">
        <v>94</v>
      </c>
      <c r="F10" t="s">
        <v>68</v>
      </c>
      <c r="G10">
        <v>1</v>
      </c>
      <c r="H10">
        <v>1</v>
      </c>
      <c r="I10">
        <f t="shared" si="0"/>
        <v>112</v>
      </c>
      <c r="J10">
        <v>113</v>
      </c>
      <c r="K10">
        <v>46</v>
      </c>
      <c r="L10">
        <f t="shared" si="1"/>
        <v>64</v>
      </c>
      <c r="M10">
        <v>9</v>
      </c>
      <c r="N10">
        <v>2</v>
      </c>
      <c r="O10">
        <v>0</v>
      </c>
      <c r="P10">
        <v>1</v>
      </c>
      <c r="Q10">
        <v>99.11</v>
      </c>
      <c r="R10" t="s">
        <v>60</v>
      </c>
      <c r="S10">
        <v>15</v>
      </c>
      <c r="T10">
        <v>7</v>
      </c>
      <c r="U10">
        <v>15</v>
      </c>
      <c r="V10">
        <v>15</v>
      </c>
      <c r="W10">
        <v>7</v>
      </c>
      <c r="X10">
        <v>22</v>
      </c>
      <c r="Y10">
        <v>18</v>
      </c>
      <c r="Z10">
        <v>13</v>
      </c>
      <c r="AA10" t="s">
        <v>61</v>
      </c>
      <c r="AB10" t="s">
        <v>71</v>
      </c>
      <c r="AC10" t="s">
        <v>110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BC040-DD7F-41CB-8AC5-A71AC5388C15}">
  <dimension ref="A1:AD13"/>
  <sheetViews>
    <sheetView workbookViewId="0">
      <selection activeCell="I8" sqref="I8"/>
    </sheetView>
  </sheetViews>
  <sheetFormatPr defaultRowHeight="14.4" x14ac:dyDescent="0.3"/>
  <cols>
    <col min="1" max="1" width="11" bestFit="1" customWidth="1"/>
    <col min="2" max="2" width="11.33203125" bestFit="1" customWidth="1"/>
    <col min="3" max="3" width="11.6640625" bestFit="1" customWidth="1"/>
    <col min="4" max="4" width="15.5546875" bestFit="1" customWidth="1"/>
    <col min="5" max="5" width="11.6640625" bestFit="1" customWidth="1"/>
    <col min="6" max="6" width="12.5546875" bestFit="1" customWidth="1"/>
    <col min="7" max="7" width="11.33203125" bestFit="1" customWidth="1"/>
    <col min="8" max="8" width="10.77734375" bestFit="1" customWidth="1"/>
    <col min="9" max="9" width="8.88671875" customWidth="1"/>
    <col min="10" max="10" width="11.109375" bestFit="1" customWidth="1"/>
    <col min="11" max="11" width="5.21875" bestFit="1" customWidth="1"/>
    <col min="12" max="12" width="8.77734375" bestFit="1" customWidth="1"/>
    <col min="13" max="13" width="7.109375" customWidth="1"/>
    <col min="14" max="14" width="7.88671875" customWidth="1"/>
    <col min="15" max="15" width="7" customWidth="1"/>
    <col min="16" max="16" width="8.88671875" customWidth="1"/>
    <col min="17" max="17" width="11.33203125" bestFit="1" customWidth="1"/>
    <col min="18" max="18" width="14.109375" bestFit="1" customWidth="1"/>
    <col min="19" max="19" width="13.21875" bestFit="1" customWidth="1"/>
    <col min="20" max="20" width="13.44140625" bestFit="1" customWidth="1"/>
    <col min="21" max="21" width="12.88671875" bestFit="1" customWidth="1"/>
    <col min="22" max="22" width="11.109375" bestFit="1" customWidth="1"/>
    <col min="23" max="23" width="14.88671875" bestFit="1" customWidth="1"/>
    <col min="24" max="24" width="13.21875" bestFit="1" customWidth="1"/>
    <col min="25" max="25" width="12.6640625" bestFit="1" customWidth="1"/>
    <col min="26" max="26" width="12.88671875" bestFit="1" customWidth="1"/>
    <col min="27" max="27" width="14.109375" bestFit="1" customWidth="1"/>
    <col min="28" max="28" width="16.6640625" bestFit="1" customWidth="1"/>
    <col min="29" max="29" width="17" bestFit="1" customWidth="1"/>
  </cols>
  <sheetData>
    <row r="1" spans="1:30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45</v>
      </c>
      <c r="H1" s="1" t="s">
        <v>18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17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19</v>
      </c>
      <c r="AB1" s="1" t="s">
        <v>20</v>
      </c>
      <c r="AC1" s="1" t="s">
        <v>21</v>
      </c>
      <c r="AD1" s="1"/>
    </row>
    <row r="2" spans="1:30" x14ac:dyDescent="0.3">
      <c r="A2" t="s">
        <v>40</v>
      </c>
      <c r="B2" s="2">
        <v>43685</v>
      </c>
      <c r="C2" t="s">
        <v>41</v>
      </c>
      <c r="D2" t="s">
        <v>42</v>
      </c>
      <c r="E2" t="s">
        <v>41</v>
      </c>
      <c r="F2" t="s">
        <v>43</v>
      </c>
      <c r="G2">
        <v>0</v>
      </c>
      <c r="H2">
        <v>0</v>
      </c>
      <c r="I2">
        <f t="shared" ref="I2:I6" si="0">S2+T2+U2+V2+W2+X2+Y2+Z2</f>
        <v>0</v>
      </c>
      <c r="J2">
        <v>0</v>
      </c>
      <c r="K2">
        <v>0</v>
      </c>
      <c r="L2">
        <f t="shared" ref="L2:L5" si="1">I2-(M2*4+N2*6)</f>
        <v>0</v>
      </c>
      <c r="M2">
        <v>0</v>
      </c>
      <c r="N2">
        <v>0</v>
      </c>
      <c r="O2">
        <v>0</v>
      </c>
      <c r="P2">
        <v>0</v>
      </c>
      <c r="Q2">
        <v>0</v>
      </c>
      <c r="R2" t="s">
        <v>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46</v>
      </c>
      <c r="AB2" t="s">
        <v>46</v>
      </c>
      <c r="AC2" t="s">
        <v>46</v>
      </c>
    </row>
    <row r="3" spans="1:30" x14ac:dyDescent="0.3">
      <c r="A3" t="s">
        <v>44</v>
      </c>
      <c r="B3" s="2">
        <v>43688</v>
      </c>
      <c r="C3" t="s">
        <v>41</v>
      </c>
      <c r="D3" t="s">
        <v>51</v>
      </c>
      <c r="E3" t="s">
        <v>41</v>
      </c>
      <c r="F3" t="s">
        <v>52</v>
      </c>
      <c r="G3">
        <v>1</v>
      </c>
      <c r="H3">
        <v>1</v>
      </c>
      <c r="I3">
        <f t="shared" si="0"/>
        <v>71</v>
      </c>
      <c r="J3">
        <v>68</v>
      </c>
      <c r="K3">
        <v>23</v>
      </c>
      <c r="L3">
        <f t="shared" si="1"/>
        <v>45</v>
      </c>
      <c r="M3">
        <v>5</v>
      </c>
      <c r="N3">
        <v>1</v>
      </c>
      <c r="O3">
        <v>1</v>
      </c>
      <c r="P3">
        <v>0</v>
      </c>
      <c r="Q3">
        <v>104.41</v>
      </c>
      <c r="R3" t="s">
        <v>53</v>
      </c>
      <c r="S3">
        <v>6</v>
      </c>
      <c r="T3">
        <v>2</v>
      </c>
      <c r="U3">
        <v>9</v>
      </c>
      <c r="V3">
        <v>7</v>
      </c>
      <c r="W3">
        <v>20</v>
      </c>
      <c r="X3">
        <v>9</v>
      </c>
      <c r="Y3">
        <v>5</v>
      </c>
      <c r="Z3">
        <v>13</v>
      </c>
      <c r="AA3" t="s">
        <v>58</v>
      </c>
      <c r="AB3" t="s">
        <v>56</v>
      </c>
      <c r="AC3" t="s">
        <v>59</v>
      </c>
    </row>
    <row r="4" spans="1:30" x14ac:dyDescent="0.3">
      <c r="A4" t="s">
        <v>62</v>
      </c>
      <c r="B4" s="2">
        <v>43689</v>
      </c>
      <c r="C4" t="s">
        <v>41</v>
      </c>
      <c r="D4" t="s">
        <v>51</v>
      </c>
      <c r="E4" t="s">
        <v>41</v>
      </c>
      <c r="F4" t="s">
        <v>52</v>
      </c>
      <c r="G4">
        <v>1</v>
      </c>
      <c r="H4">
        <v>2</v>
      </c>
      <c r="I4">
        <f t="shared" si="0"/>
        <v>65</v>
      </c>
      <c r="J4">
        <v>41</v>
      </c>
      <c r="K4">
        <v>12</v>
      </c>
      <c r="L4">
        <f t="shared" si="1"/>
        <v>23</v>
      </c>
      <c r="M4">
        <v>3</v>
      </c>
      <c r="N4">
        <v>5</v>
      </c>
      <c r="O4">
        <v>1</v>
      </c>
      <c r="P4">
        <v>0</v>
      </c>
      <c r="Q4">
        <v>158.54</v>
      </c>
      <c r="R4" t="s">
        <v>53</v>
      </c>
      <c r="S4">
        <v>8</v>
      </c>
      <c r="T4">
        <v>7</v>
      </c>
      <c r="U4">
        <v>9</v>
      </c>
      <c r="V4">
        <v>17</v>
      </c>
      <c r="W4">
        <v>2</v>
      </c>
      <c r="X4">
        <v>0</v>
      </c>
      <c r="Y4">
        <v>8</v>
      </c>
      <c r="Z4">
        <v>14</v>
      </c>
      <c r="AA4" t="s">
        <v>61</v>
      </c>
      <c r="AB4" t="s">
        <v>56</v>
      </c>
      <c r="AC4" t="s">
        <v>64</v>
      </c>
    </row>
    <row r="5" spans="1:30" x14ac:dyDescent="0.3">
      <c r="A5" t="s">
        <v>65</v>
      </c>
      <c r="B5" s="2">
        <v>43814</v>
      </c>
      <c r="C5" t="s">
        <v>41</v>
      </c>
      <c r="D5" t="s">
        <v>66</v>
      </c>
      <c r="E5" t="s">
        <v>67</v>
      </c>
      <c r="F5" t="s">
        <v>68</v>
      </c>
      <c r="G5">
        <v>1</v>
      </c>
      <c r="H5">
        <v>1</v>
      </c>
      <c r="I5">
        <f t="shared" si="0"/>
        <v>70</v>
      </c>
      <c r="J5">
        <v>88</v>
      </c>
      <c r="K5">
        <v>45</v>
      </c>
      <c r="L5">
        <f t="shared" si="1"/>
        <v>44</v>
      </c>
      <c r="M5">
        <v>5</v>
      </c>
      <c r="N5">
        <v>1</v>
      </c>
      <c r="O5">
        <v>1</v>
      </c>
      <c r="P5">
        <v>0</v>
      </c>
      <c r="Q5">
        <v>79.55</v>
      </c>
      <c r="R5" t="s">
        <v>53</v>
      </c>
      <c r="S5">
        <v>9</v>
      </c>
      <c r="T5">
        <v>5</v>
      </c>
      <c r="U5">
        <v>3</v>
      </c>
      <c r="V5">
        <v>14</v>
      </c>
      <c r="W5">
        <v>8</v>
      </c>
      <c r="X5">
        <v>11</v>
      </c>
      <c r="Y5">
        <v>10</v>
      </c>
      <c r="Z5">
        <v>10</v>
      </c>
      <c r="AA5" t="s">
        <v>61</v>
      </c>
      <c r="AB5" t="s">
        <v>70</v>
      </c>
      <c r="AC5" t="s">
        <v>72</v>
      </c>
    </row>
    <row r="6" spans="1:30" x14ac:dyDescent="0.3">
      <c r="A6" t="s">
        <v>73</v>
      </c>
      <c r="B6" s="2">
        <v>43817</v>
      </c>
      <c r="C6" t="s">
        <v>41</v>
      </c>
      <c r="D6" t="s">
        <v>74</v>
      </c>
      <c r="E6" t="s">
        <v>67</v>
      </c>
      <c r="F6" t="s">
        <v>52</v>
      </c>
      <c r="G6">
        <v>1</v>
      </c>
      <c r="H6">
        <v>1</v>
      </c>
      <c r="I6">
        <f t="shared" si="0"/>
        <v>53</v>
      </c>
      <c r="J6">
        <v>32</v>
      </c>
      <c r="K6">
        <v>8</v>
      </c>
      <c r="L6">
        <f t="shared" ref="L6:L13" si="2">I6-(M6*4+N6*6)</f>
        <v>17</v>
      </c>
      <c r="M6">
        <v>3</v>
      </c>
      <c r="N6">
        <v>4</v>
      </c>
      <c r="O6">
        <v>1</v>
      </c>
      <c r="P6">
        <v>0</v>
      </c>
      <c r="Q6">
        <v>165.62</v>
      </c>
      <c r="R6" t="s">
        <v>53</v>
      </c>
      <c r="S6">
        <v>8</v>
      </c>
      <c r="T6">
        <v>4</v>
      </c>
      <c r="U6">
        <v>6</v>
      </c>
      <c r="V6">
        <v>4</v>
      </c>
      <c r="W6">
        <v>0</v>
      </c>
      <c r="X6">
        <v>9</v>
      </c>
      <c r="Y6">
        <v>8</v>
      </c>
      <c r="Z6">
        <v>14</v>
      </c>
      <c r="AA6" t="s">
        <v>61</v>
      </c>
      <c r="AB6" t="s">
        <v>71</v>
      </c>
      <c r="AC6" t="s">
        <v>69</v>
      </c>
    </row>
    <row r="7" spans="1:30" x14ac:dyDescent="0.3">
      <c r="A7" t="s">
        <v>78</v>
      </c>
      <c r="B7" s="2">
        <v>43821</v>
      </c>
      <c r="C7" t="s">
        <v>41</v>
      </c>
      <c r="D7" t="s">
        <v>79</v>
      </c>
      <c r="E7" t="s">
        <v>67</v>
      </c>
      <c r="F7" t="s">
        <v>52</v>
      </c>
      <c r="G7">
        <v>1</v>
      </c>
      <c r="H7">
        <v>2</v>
      </c>
      <c r="I7">
        <f t="shared" ref="I7:I13" si="3">S7+T7+U7+V7+W7+X7+Y7+Z7</f>
        <v>7</v>
      </c>
      <c r="J7">
        <v>7</v>
      </c>
      <c r="K7">
        <v>3</v>
      </c>
      <c r="L7">
        <f t="shared" si="2"/>
        <v>3</v>
      </c>
      <c r="M7">
        <v>1</v>
      </c>
      <c r="N7">
        <v>0</v>
      </c>
      <c r="O7">
        <v>0</v>
      </c>
      <c r="P7">
        <v>0</v>
      </c>
      <c r="Q7">
        <v>100</v>
      </c>
      <c r="R7" t="s">
        <v>53</v>
      </c>
      <c r="S7">
        <v>0</v>
      </c>
      <c r="T7">
        <v>0</v>
      </c>
      <c r="U7">
        <v>1</v>
      </c>
      <c r="V7">
        <v>0</v>
      </c>
      <c r="W7">
        <v>5</v>
      </c>
      <c r="X7">
        <v>1</v>
      </c>
      <c r="Y7">
        <v>0</v>
      </c>
      <c r="Z7">
        <v>0</v>
      </c>
      <c r="AA7" t="s">
        <v>61</v>
      </c>
      <c r="AB7" t="s">
        <v>71</v>
      </c>
      <c r="AC7" t="s">
        <v>80</v>
      </c>
    </row>
    <row r="8" spans="1:30" x14ac:dyDescent="0.3">
      <c r="A8" t="s">
        <v>81</v>
      </c>
      <c r="B8" s="2">
        <v>43844</v>
      </c>
      <c r="C8" t="s">
        <v>85</v>
      </c>
      <c r="D8" t="s">
        <v>83</v>
      </c>
      <c r="E8" t="s">
        <v>67</v>
      </c>
      <c r="F8" t="s">
        <v>68</v>
      </c>
      <c r="G8">
        <v>1</v>
      </c>
      <c r="H8">
        <v>1</v>
      </c>
      <c r="I8">
        <f t="shared" si="3"/>
        <v>4</v>
      </c>
      <c r="J8">
        <v>9</v>
      </c>
      <c r="K8">
        <v>5</v>
      </c>
      <c r="L8">
        <f t="shared" si="2"/>
        <v>4</v>
      </c>
      <c r="M8">
        <v>0</v>
      </c>
      <c r="N8">
        <v>0</v>
      </c>
      <c r="O8">
        <v>0</v>
      </c>
      <c r="P8">
        <v>0</v>
      </c>
      <c r="Q8">
        <v>44.44</v>
      </c>
      <c r="R8" t="s">
        <v>53</v>
      </c>
      <c r="S8">
        <v>0</v>
      </c>
      <c r="T8">
        <v>0</v>
      </c>
      <c r="U8">
        <v>2</v>
      </c>
      <c r="V8">
        <v>0</v>
      </c>
      <c r="W8">
        <v>0</v>
      </c>
      <c r="X8">
        <v>0</v>
      </c>
      <c r="Y8">
        <v>2</v>
      </c>
      <c r="Z8">
        <v>0</v>
      </c>
      <c r="AA8" t="s">
        <v>61</v>
      </c>
      <c r="AB8" t="s">
        <v>70</v>
      </c>
      <c r="AC8" t="s">
        <v>86</v>
      </c>
    </row>
    <row r="9" spans="1:30" x14ac:dyDescent="0.3">
      <c r="A9" t="s">
        <v>89</v>
      </c>
      <c r="B9" s="2">
        <v>43847</v>
      </c>
      <c r="C9" t="s">
        <v>85</v>
      </c>
      <c r="D9" t="s">
        <v>90</v>
      </c>
      <c r="E9" t="s">
        <v>67</v>
      </c>
      <c r="F9" t="s">
        <v>52</v>
      </c>
      <c r="G9">
        <v>1</v>
      </c>
      <c r="H9">
        <v>1</v>
      </c>
      <c r="I9">
        <f t="shared" si="3"/>
        <v>7</v>
      </c>
      <c r="J9">
        <v>17</v>
      </c>
      <c r="K9">
        <v>14</v>
      </c>
      <c r="L9">
        <f t="shared" si="2"/>
        <v>3</v>
      </c>
      <c r="M9">
        <v>1</v>
      </c>
      <c r="N9">
        <v>0</v>
      </c>
      <c r="O9">
        <v>0</v>
      </c>
      <c r="P9">
        <v>0</v>
      </c>
      <c r="Q9">
        <v>41.18</v>
      </c>
      <c r="R9" t="s">
        <v>53</v>
      </c>
      <c r="S9">
        <v>0</v>
      </c>
      <c r="T9">
        <v>0</v>
      </c>
      <c r="U9">
        <v>3</v>
      </c>
      <c r="V9">
        <v>0</v>
      </c>
      <c r="W9">
        <v>0</v>
      </c>
      <c r="X9">
        <v>0</v>
      </c>
      <c r="Y9">
        <v>0</v>
      </c>
      <c r="Z9">
        <v>4</v>
      </c>
      <c r="AA9" t="s">
        <v>58</v>
      </c>
      <c r="AB9" t="s">
        <v>56</v>
      </c>
      <c r="AC9" t="s">
        <v>84</v>
      </c>
    </row>
    <row r="10" spans="1:30" x14ac:dyDescent="0.3">
      <c r="A10" t="s">
        <v>93</v>
      </c>
      <c r="B10" s="2">
        <v>43849</v>
      </c>
      <c r="C10" t="s">
        <v>85</v>
      </c>
      <c r="D10" t="s">
        <v>97</v>
      </c>
      <c r="E10" t="s">
        <v>67</v>
      </c>
      <c r="F10" t="s">
        <v>52</v>
      </c>
      <c r="G10">
        <v>1</v>
      </c>
      <c r="H10">
        <v>2</v>
      </c>
      <c r="I10">
        <f t="shared" si="3"/>
        <v>44</v>
      </c>
      <c r="J10">
        <v>35</v>
      </c>
      <c r="K10">
        <v>17</v>
      </c>
      <c r="L10">
        <f t="shared" si="2"/>
        <v>14</v>
      </c>
      <c r="M10">
        <v>6</v>
      </c>
      <c r="N10">
        <v>1</v>
      </c>
      <c r="O10">
        <v>0</v>
      </c>
      <c r="P10">
        <v>0</v>
      </c>
      <c r="Q10">
        <v>125.71</v>
      </c>
      <c r="R10" t="s">
        <v>60</v>
      </c>
      <c r="S10">
        <v>0</v>
      </c>
      <c r="T10">
        <v>0</v>
      </c>
      <c r="U10">
        <v>13</v>
      </c>
      <c r="V10">
        <v>20</v>
      </c>
      <c r="W10">
        <v>0</v>
      </c>
      <c r="X10">
        <v>0</v>
      </c>
      <c r="Y10">
        <v>3</v>
      </c>
      <c r="Z10">
        <v>8</v>
      </c>
      <c r="AA10" t="s">
        <v>46</v>
      </c>
      <c r="AB10" t="s">
        <v>46</v>
      </c>
      <c r="AC10" t="s">
        <v>46</v>
      </c>
    </row>
    <row r="11" spans="1:30" x14ac:dyDescent="0.3">
      <c r="A11" t="s">
        <v>99</v>
      </c>
      <c r="B11" s="2">
        <v>43866</v>
      </c>
      <c r="C11" t="s">
        <v>94</v>
      </c>
      <c r="D11" t="s">
        <v>100</v>
      </c>
      <c r="E11" t="s">
        <v>94</v>
      </c>
      <c r="F11" t="s">
        <v>68</v>
      </c>
      <c r="G11">
        <v>1</v>
      </c>
      <c r="H11">
        <v>1</v>
      </c>
      <c r="I11">
        <f t="shared" si="3"/>
        <v>103</v>
      </c>
      <c r="J11">
        <v>107</v>
      </c>
      <c r="K11">
        <v>50</v>
      </c>
      <c r="L11">
        <f t="shared" si="2"/>
        <v>53</v>
      </c>
      <c r="M11">
        <v>11</v>
      </c>
      <c r="N11">
        <v>1</v>
      </c>
      <c r="O11">
        <v>0</v>
      </c>
      <c r="P11">
        <v>1</v>
      </c>
      <c r="Q11">
        <v>96.26</v>
      </c>
      <c r="R11" t="s">
        <v>53</v>
      </c>
      <c r="S11">
        <v>16</v>
      </c>
      <c r="T11">
        <v>9</v>
      </c>
      <c r="U11">
        <v>20</v>
      </c>
      <c r="V11">
        <v>25</v>
      </c>
      <c r="W11">
        <v>19</v>
      </c>
      <c r="X11">
        <v>1</v>
      </c>
      <c r="Y11">
        <v>5</v>
      </c>
      <c r="Z11">
        <v>8</v>
      </c>
      <c r="AA11" t="s">
        <v>61</v>
      </c>
      <c r="AB11" t="s">
        <v>56</v>
      </c>
      <c r="AC11" t="s">
        <v>102</v>
      </c>
    </row>
    <row r="12" spans="1:30" x14ac:dyDescent="0.3">
      <c r="A12" t="s">
        <v>103</v>
      </c>
      <c r="B12" s="2">
        <v>43869</v>
      </c>
      <c r="C12" t="s">
        <v>94</v>
      </c>
      <c r="D12" t="s">
        <v>104</v>
      </c>
      <c r="E12" t="s">
        <v>94</v>
      </c>
      <c r="F12" t="s">
        <v>68</v>
      </c>
      <c r="G12">
        <v>1</v>
      </c>
      <c r="H12">
        <v>2</v>
      </c>
      <c r="I12">
        <f t="shared" si="3"/>
        <v>52</v>
      </c>
      <c r="J12">
        <v>57</v>
      </c>
      <c r="K12">
        <v>31</v>
      </c>
      <c r="L12">
        <f t="shared" si="2"/>
        <v>18</v>
      </c>
      <c r="M12">
        <v>7</v>
      </c>
      <c r="N12">
        <v>1</v>
      </c>
      <c r="O12">
        <v>1</v>
      </c>
      <c r="P12">
        <v>0</v>
      </c>
      <c r="Q12">
        <v>91.23</v>
      </c>
      <c r="R12" t="s">
        <v>53</v>
      </c>
      <c r="S12">
        <v>5</v>
      </c>
      <c r="T12">
        <v>16</v>
      </c>
      <c r="U12">
        <v>10</v>
      </c>
      <c r="V12">
        <v>1</v>
      </c>
      <c r="W12">
        <v>14</v>
      </c>
      <c r="X12">
        <v>2</v>
      </c>
      <c r="Y12">
        <v>2</v>
      </c>
      <c r="Z12">
        <v>2</v>
      </c>
      <c r="AA12" t="s">
        <v>61</v>
      </c>
      <c r="AB12" t="s">
        <v>70</v>
      </c>
      <c r="AC12" t="s">
        <v>106</v>
      </c>
    </row>
    <row r="13" spans="1:30" x14ac:dyDescent="0.3">
      <c r="A13" t="s">
        <v>107</v>
      </c>
      <c r="B13" s="2">
        <v>43872</v>
      </c>
      <c r="C13" t="s">
        <v>94</v>
      </c>
      <c r="D13" t="s">
        <v>108</v>
      </c>
      <c r="E13" t="s">
        <v>94</v>
      </c>
      <c r="F13" t="s">
        <v>68</v>
      </c>
      <c r="G13">
        <v>1</v>
      </c>
      <c r="H13">
        <v>1</v>
      </c>
      <c r="I13">
        <f t="shared" si="3"/>
        <v>62</v>
      </c>
      <c r="J13">
        <v>63</v>
      </c>
      <c r="K13">
        <v>29</v>
      </c>
      <c r="L13">
        <f t="shared" si="2"/>
        <v>26</v>
      </c>
      <c r="M13">
        <v>9</v>
      </c>
      <c r="N13">
        <v>0</v>
      </c>
      <c r="O13">
        <v>1</v>
      </c>
      <c r="P13">
        <v>0</v>
      </c>
      <c r="Q13">
        <v>98.41</v>
      </c>
      <c r="R13" t="s">
        <v>53</v>
      </c>
      <c r="S13">
        <v>6</v>
      </c>
      <c r="T13">
        <v>7</v>
      </c>
      <c r="U13">
        <v>12</v>
      </c>
      <c r="V13">
        <v>5</v>
      </c>
      <c r="W13">
        <v>14</v>
      </c>
      <c r="X13">
        <v>5</v>
      </c>
      <c r="Y13">
        <v>7</v>
      </c>
      <c r="Z13">
        <v>6</v>
      </c>
      <c r="AA13" t="s">
        <v>61</v>
      </c>
      <c r="AB13" t="s">
        <v>71</v>
      </c>
      <c r="AC13" t="s">
        <v>109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C6EF-2134-49D3-B221-0DD014B8C296}">
  <dimension ref="A1:AD1"/>
  <sheetViews>
    <sheetView workbookViewId="0">
      <selection sqref="A1:XFD1"/>
    </sheetView>
  </sheetViews>
  <sheetFormatPr defaultRowHeight="14.4" x14ac:dyDescent="0.3"/>
  <sheetData>
    <row r="1" spans="1:30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45</v>
      </c>
      <c r="H1" s="1" t="s">
        <v>18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17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19</v>
      </c>
      <c r="AB1" s="1" t="s">
        <v>20</v>
      </c>
      <c r="AC1" s="1" t="s">
        <v>21</v>
      </c>
      <c r="AD1" s="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099B5-D1FC-4883-A184-3F6C800F17F9}">
  <dimension ref="A1:AD1"/>
  <sheetViews>
    <sheetView workbookViewId="0">
      <selection sqref="A1:XFD1"/>
    </sheetView>
  </sheetViews>
  <sheetFormatPr defaultRowHeight="14.4" x14ac:dyDescent="0.3"/>
  <sheetData>
    <row r="1" spans="1:30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45</v>
      </c>
      <c r="H1" s="1" t="s">
        <v>18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17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19</v>
      </c>
      <c r="AB1" s="1" t="s">
        <v>20</v>
      </c>
      <c r="AC1" s="1" t="s">
        <v>21</v>
      </c>
      <c r="AD1" s="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611F8-8083-41DD-9EF5-5BD5E718BDB6}">
  <dimension ref="A1:AT13"/>
  <sheetViews>
    <sheetView topLeftCell="Q1" workbookViewId="0">
      <selection activeCell="I8" sqref="I8"/>
    </sheetView>
  </sheetViews>
  <sheetFormatPr defaultRowHeight="14.4" x14ac:dyDescent="0.3"/>
  <cols>
    <col min="1" max="1" width="11" bestFit="1" customWidth="1"/>
    <col min="2" max="2" width="11.33203125" bestFit="1" customWidth="1"/>
    <col min="3" max="3" width="11.6640625" bestFit="1" customWidth="1"/>
    <col min="4" max="4" width="15.5546875" bestFit="1" customWidth="1"/>
    <col min="5" max="5" width="11.6640625" bestFit="1" customWidth="1"/>
    <col min="6" max="6" width="12.5546875" bestFit="1" customWidth="1"/>
    <col min="7" max="7" width="11.33203125" bestFit="1" customWidth="1"/>
    <col min="8" max="8" width="10.77734375" bestFit="1" customWidth="1"/>
    <col min="9" max="9" width="5.5546875" bestFit="1" customWidth="1"/>
    <col min="10" max="10" width="11.109375" bestFit="1" customWidth="1"/>
    <col min="11" max="11" width="5.21875" bestFit="1" customWidth="1"/>
    <col min="17" max="17" width="11.33203125" bestFit="1" customWidth="1"/>
    <col min="18" max="18" width="14.109375" bestFit="1" customWidth="1"/>
    <col min="19" max="19" width="13.21875" bestFit="1" customWidth="1"/>
    <col min="20" max="20" width="13.44140625" bestFit="1" customWidth="1"/>
    <col min="21" max="21" width="12.88671875" bestFit="1" customWidth="1"/>
    <col min="22" max="22" width="11.109375" bestFit="1" customWidth="1"/>
    <col min="23" max="23" width="14.88671875" bestFit="1" customWidth="1"/>
    <col min="24" max="24" width="13.21875" bestFit="1" customWidth="1"/>
    <col min="25" max="25" width="12.6640625" bestFit="1" customWidth="1"/>
    <col min="26" max="26" width="12.88671875" bestFit="1" customWidth="1"/>
    <col min="27" max="27" width="14.109375" bestFit="1" customWidth="1"/>
    <col min="28" max="28" width="16.6640625" bestFit="1" customWidth="1"/>
    <col min="29" max="29" width="19.6640625" bestFit="1" customWidth="1"/>
    <col min="30" max="30" width="9.6640625" bestFit="1" customWidth="1"/>
    <col min="31" max="31" width="12.6640625" bestFit="1" customWidth="1"/>
    <col min="32" max="32" width="15.88671875" bestFit="1" customWidth="1"/>
    <col min="38" max="38" width="12.6640625" bestFit="1" customWidth="1"/>
    <col min="39" max="39" width="12.33203125" bestFit="1" customWidth="1"/>
    <col min="40" max="40" width="15.21875" bestFit="1" customWidth="1"/>
    <col min="41" max="42" width="16.6640625" bestFit="1" customWidth="1"/>
    <col min="43" max="43" width="10.21875" bestFit="1" customWidth="1"/>
    <col min="44" max="44" width="10" bestFit="1" customWidth="1"/>
    <col min="45" max="45" width="12" bestFit="1" customWidth="1"/>
    <col min="46" max="46" width="11.6640625" bestFit="1" customWidth="1"/>
  </cols>
  <sheetData>
    <row r="1" spans="1:46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45</v>
      </c>
      <c r="H1" s="1" t="s">
        <v>18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17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19</v>
      </c>
      <c r="AB1" s="1" t="s">
        <v>20</v>
      </c>
      <c r="AC1" s="1" t="s">
        <v>21</v>
      </c>
      <c r="AD1" s="1" t="s">
        <v>49</v>
      </c>
      <c r="AE1" s="1" t="s">
        <v>34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76</v>
      </c>
      <c r="AM1" s="1" t="s">
        <v>77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47</v>
      </c>
      <c r="AT1" s="1" t="s">
        <v>50</v>
      </c>
    </row>
    <row r="2" spans="1:46" x14ac:dyDescent="0.3">
      <c r="A2" t="s">
        <v>40</v>
      </c>
      <c r="B2" s="2">
        <v>43685</v>
      </c>
      <c r="C2" t="s">
        <v>41</v>
      </c>
      <c r="D2" t="s">
        <v>42</v>
      </c>
      <c r="E2" t="s">
        <v>41</v>
      </c>
      <c r="F2" t="s">
        <v>43</v>
      </c>
      <c r="G2">
        <v>0</v>
      </c>
      <c r="H2">
        <v>0</v>
      </c>
      <c r="I2">
        <f t="shared" ref="I2:I6" si="0">S2+T2+U2+V2+W2+X2+Y2+Z2</f>
        <v>0</v>
      </c>
      <c r="J2">
        <v>0</v>
      </c>
      <c r="K2">
        <v>0</v>
      </c>
      <c r="L2">
        <f t="shared" ref="L2:L4" si="1">I2-(M2*4+N2*6)</f>
        <v>0</v>
      </c>
      <c r="M2">
        <v>0</v>
      </c>
      <c r="N2">
        <v>0</v>
      </c>
      <c r="O2">
        <v>0</v>
      </c>
      <c r="P2">
        <v>0</v>
      </c>
      <c r="Q2">
        <v>0</v>
      </c>
      <c r="R2" t="s">
        <v>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46</v>
      </c>
      <c r="AB2" t="s">
        <v>46</v>
      </c>
      <c r="AC2" t="s">
        <v>46</v>
      </c>
      <c r="AD2">
        <v>1</v>
      </c>
      <c r="AE2">
        <f t="shared" ref="AE2:AE4" si="2">AL2+AM2</f>
        <v>6</v>
      </c>
      <c r="AF2">
        <f t="shared" ref="AF2:AF5" si="3">AI2+AQ2+AR2</f>
        <v>6</v>
      </c>
      <c r="AG2">
        <v>0</v>
      </c>
      <c r="AH2">
        <v>2</v>
      </c>
      <c r="AI2">
        <v>0</v>
      </c>
      <c r="AJ2">
        <v>6</v>
      </c>
      <c r="AK2">
        <v>0</v>
      </c>
      <c r="AL2">
        <v>3</v>
      </c>
      <c r="AM2">
        <v>3</v>
      </c>
      <c r="AN2">
        <v>0</v>
      </c>
      <c r="AO2">
        <v>0</v>
      </c>
      <c r="AP2">
        <v>0</v>
      </c>
      <c r="AQ2">
        <v>2</v>
      </c>
      <c r="AR2">
        <v>4</v>
      </c>
      <c r="AS2">
        <v>0</v>
      </c>
      <c r="AT2">
        <v>0</v>
      </c>
    </row>
    <row r="3" spans="1:46" x14ac:dyDescent="0.3">
      <c r="A3" t="s">
        <v>44</v>
      </c>
      <c r="B3" s="2">
        <v>43688</v>
      </c>
      <c r="C3" t="s">
        <v>41</v>
      </c>
      <c r="D3" t="s">
        <v>51</v>
      </c>
      <c r="E3" t="s">
        <v>41</v>
      </c>
      <c r="F3" t="s">
        <v>52</v>
      </c>
      <c r="G3">
        <v>1</v>
      </c>
      <c r="H3">
        <v>1</v>
      </c>
      <c r="I3">
        <f t="shared" si="0"/>
        <v>16</v>
      </c>
      <c r="J3">
        <v>16</v>
      </c>
      <c r="K3">
        <v>5</v>
      </c>
      <c r="L3">
        <f t="shared" si="1"/>
        <v>12</v>
      </c>
      <c r="M3">
        <v>1</v>
      </c>
      <c r="N3">
        <v>0</v>
      </c>
      <c r="O3">
        <v>0</v>
      </c>
      <c r="P3">
        <v>0</v>
      </c>
      <c r="Q3">
        <v>100</v>
      </c>
      <c r="R3" t="s">
        <v>60</v>
      </c>
      <c r="S3">
        <v>0</v>
      </c>
      <c r="T3">
        <v>3</v>
      </c>
      <c r="U3">
        <v>1</v>
      </c>
      <c r="V3">
        <v>4</v>
      </c>
      <c r="W3">
        <v>0</v>
      </c>
      <c r="X3">
        <v>2</v>
      </c>
      <c r="Y3">
        <v>2</v>
      </c>
      <c r="Z3">
        <v>4</v>
      </c>
      <c r="AA3" t="s">
        <v>46</v>
      </c>
      <c r="AB3" t="s">
        <v>46</v>
      </c>
      <c r="AC3" t="s">
        <v>46</v>
      </c>
      <c r="AD3">
        <v>1</v>
      </c>
      <c r="AE3">
        <f t="shared" si="2"/>
        <v>24</v>
      </c>
      <c r="AF3">
        <f t="shared" si="3"/>
        <v>15</v>
      </c>
      <c r="AG3">
        <v>0</v>
      </c>
      <c r="AH3">
        <v>13</v>
      </c>
      <c r="AI3">
        <v>1</v>
      </c>
      <c r="AJ3">
        <v>3.75</v>
      </c>
      <c r="AK3">
        <v>1</v>
      </c>
      <c r="AL3">
        <v>16</v>
      </c>
      <c r="AM3">
        <v>8</v>
      </c>
      <c r="AN3">
        <v>0</v>
      </c>
      <c r="AO3">
        <v>1</v>
      </c>
      <c r="AP3">
        <v>0</v>
      </c>
      <c r="AQ3">
        <v>12</v>
      </c>
      <c r="AR3">
        <v>2</v>
      </c>
      <c r="AS3">
        <v>1</v>
      </c>
      <c r="AT3">
        <v>0</v>
      </c>
    </row>
    <row r="4" spans="1:46" x14ac:dyDescent="0.3">
      <c r="A4" t="s">
        <v>62</v>
      </c>
      <c r="B4" s="2">
        <v>43689</v>
      </c>
      <c r="C4" t="s">
        <v>41</v>
      </c>
      <c r="D4" t="s">
        <v>51</v>
      </c>
      <c r="E4" t="s">
        <v>41</v>
      </c>
      <c r="F4" t="s">
        <v>52</v>
      </c>
      <c r="G4">
        <v>0</v>
      </c>
      <c r="H4">
        <v>0</v>
      </c>
      <c r="I4">
        <f t="shared" si="0"/>
        <v>0</v>
      </c>
      <c r="J4">
        <v>0</v>
      </c>
      <c r="K4">
        <v>0</v>
      </c>
      <c r="L4">
        <f t="shared" si="1"/>
        <v>0</v>
      </c>
      <c r="M4">
        <v>0</v>
      </c>
      <c r="N4">
        <v>0</v>
      </c>
      <c r="O4">
        <v>0</v>
      </c>
      <c r="P4">
        <v>0</v>
      </c>
      <c r="Q4">
        <v>0</v>
      </c>
      <c r="R4" t="s">
        <v>46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t="s">
        <v>46</v>
      </c>
      <c r="AB4" t="s">
        <v>46</v>
      </c>
      <c r="AC4" t="s">
        <v>46</v>
      </c>
      <c r="AD4">
        <v>1</v>
      </c>
      <c r="AE4">
        <f t="shared" si="2"/>
        <v>30</v>
      </c>
      <c r="AF4">
        <f t="shared" si="3"/>
        <v>26</v>
      </c>
      <c r="AG4">
        <v>0</v>
      </c>
      <c r="AH4">
        <v>15</v>
      </c>
      <c r="AI4">
        <v>1</v>
      </c>
      <c r="AJ4">
        <v>5.2</v>
      </c>
      <c r="AK4">
        <v>1</v>
      </c>
      <c r="AL4">
        <v>19</v>
      </c>
      <c r="AM4">
        <v>11</v>
      </c>
      <c r="AN4">
        <v>0</v>
      </c>
      <c r="AO4">
        <v>1</v>
      </c>
      <c r="AP4">
        <v>0</v>
      </c>
      <c r="AQ4">
        <v>7</v>
      </c>
      <c r="AR4">
        <v>18</v>
      </c>
      <c r="AS4">
        <v>1</v>
      </c>
      <c r="AT4">
        <v>0</v>
      </c>
    </row>
    <row r="5" spans="1:46" x14ac:dyDescent="0.3">
      <c r="A5" t="s">
        <v>65</v>
      </c>
      <c r="B5" s="2">
        <v>43814</v>
      </c>
      <c r="C5" t="s">
        <v>41</v>
      </c>
      <c r="D5" t="s">
        <v>66</v>
      </c>
      <c r="E5" t="s">
        <v>67</v>
      </c>
      <c r="F5" t="s">
        <v>68</v>
      </c>
      <c r="G5">
        <v>1</v>
      </c>
      <c r="H5">
        <v>1</v>
      </c>
      <c r="I5">
        <f t="shared" si="0"/>
        <v>21</v>
      </c>
      <c r="J5">
        <v>21</v>
      </c>
      <c r="K5">
        <v>7</v>
      </c>
      <c r="L5">
        <f>I5-(M5*4+N5*6)</f>
        <v>13</v>
      </c>
      <c r="M5">
        <v>2</v>
      </c>
      <c r="N5">
        <v>0</v>
      </c>
      <c r="O5">
        <v>0</v>
      </c>
      <c r="P5">
        <v>0</v>
      </c>
      <c r="Q5">
        <v>100</v>
      </c>
      <c r="R5" t="s">
        <v>53</v>
      </c>
      <c r="S5">
        <v>2</v>
      </c>
      <c r="T5">
        <v>1</v>
      </c>
      <c r="U5">
        <v>4</v>
      </c>
      <c r="V5">
        <v>1</v>
      </c>
      <c r="W5">
        <v>0</v>
      </c>
      <c r="X5">
        <v>8</v>
      </c>
      <c r="Y5">
        <v>1</v>
      </c>
      <c r="Z5">
        <v>4</v>
      </c>
      <c r="AA5" t="s">
        <v>63</v>
      </c>
      <c r="AB5" t="s">
        <v>46</v>
      </c>
      <c r="AC5" t="s">
        <v>46</v>
      </c>
      <c r="AD5">
        <v>1</v>
      </c>
      <c r="AE5">
        <f t="shared" ref="AE5:AE13" si="4">AL5+AM5</f>
        <v>60</v>
      </c>
      <c r="AF5">
        <f t="shared" si="3"/>
        <v>58</v>
      </c>
      <c r="AG5">
        <v>0</v>
      </c>
      <c r="AH5">
        <v>30</v>
      </c>
      <c r="AI5">
        <v>1</v>
      </c>
      <c r="AJ5">
        <v>5.8</v>
      </c>
      <c r="AK5">
        <v>0</v>
      </c>
      <c r="AL5">
        <v>33</v>
      </c>
      <c r="AM5">
        <v>27</v>
      </c>
      <c r="AN5">
        <v>0</v>
      </c>
      <c r="AO5">
        <v>0</v>
      </c>
      <c r="AP5">
        <v>0</v>
      </c>
      <c r="AQ5">
        <v>16</v>
      </c>
      <c r="AR5">
        <v>41</v>
      </c>
      <c r="AS5">
        <v>0</v>
      </c>
      <c r="AT5">
        <v>0</v>
      </c>
    </row>
    <row r="6" spans="1:46" x14ac:dyDescent="0.3">
      <c r="A6" t="s">
        <v>73</v>
      </c>
      <c r="B6" s="2">
        <v>43817</v>
      </c>
      <c r="C6" t="s">
        <v>41</v>
      </c>
      <c r="D6" t="s">
        <v>74</v>
      </c>
      <c r="E6" t="s">
        <v>67</v>
      </c>
      <c r="F6" t="s">
        <v>52</v>
      </c>
      <c r="G6">
        <v>1</v>
      </c>
      <c r="H6">
        <v>1</v>
      </c>
      <c r="I6">
        <f t="shared" si="0"/>
        <v>0</v>
      </c>
      <c r="J6">
        <v>0</v>
      </c>
      <c r="K6">
        <v>0</v>
      </c>
      <c r="L6">
        <f t="shared" ref="L6:L8" si="5">I6-(M6*4+N6*6)</f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60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t="s">
        <v>46</v>
      </c>
      <c r="AB6" t="s">
        <v>46</v>
      </c>
      <c r="AC6" t="s">
        <v>46</v>
      </c>
      <c r="AD6">
        <v>1</v>
      </c>
      <c r="AE6">
        <f t="shared" si="4"/>
        <v>60</v>
      </c>
      <c r="AF6">
        <f t="shared" ref="AF6:AF13" si="6">AI6+AQ6+AR6</f>
        <v>74</v>
      </c>
      <c r="AG6">
        <v>0</v>
      </c>
      <c r="AH6">
        <v>25</v>
      </c>
      <c r="AI6">
        <v>1</v>
      </c>
      <c r="AJ6">
        <v>7.4</v>
      </c>
      <c r="AK6">
        <v>2</v>
      </c>
      <c r="AL6">
        <v>29</v>
      </c>
      <c r="AM6">
        <v>31</v>
      </c>
      <c r="AN6">
        <v>1</v>
      </c>
      <c r="AO6">
        <v>1</v>
      </c>
      <c r="AP6">
        <v>0</v>
      </c>
      <c r="AQ6">
        <v>26</v>
      </c>
      <c r="AR6">
        <v>47</v>
      </c>
      <c r="AS6">
        <v>1</v>
      </c>
      <c r="AT6">
        <v>1</v>
      </c>
    </row>
    <row r="7" spans="1:46" x14ac:dyDescent="0.3">
      <c r="A7" t="s">
        <v>78</v>
      </c>
      <c r="B7" s="2">
        <v>43818</v>
      </c>
      <c r="C7" t="s">
        <v>41</v>
      </c>
      <c r="D7" t="s">
        <v>79</v>
      </c>
      <c r="E7" t="s">
        <v>67</v>
      </c>
      <c r="F7" t="s">
        <v>52</v>
      </c>
      <c r="G7">
        <v>1</v>
      </c>
      <c r="H7">
        <v>2</v>
      </c>
      <c r="I7">
        <f t="shared" ref="I7:I13" si="7">S7+T7+U7+V7+W7+X7+Y7+Z7</f>
        <v>39</v>
      </c>
      <c r="J7">
        <v>31</v>
      </c>
      <c r="K7">
        <v>6</v>
      </c>
      <c r="L7">
        <f t="shared" si="5"/>
        <v>23</v>
      </c>
      <c r="M7">
        <v>4</v>
      </c>
      <c r="N7">
        <v>0</v>
      </c>
      <c r="O7">
        <v>0</v>
      </c>
      <c r="P7">
        <v>0</v>
      </c>
      <c r="Q7">
        <v>125.81</v>
      </c>
      <c r="R7" t="s">
        <v>60</v>
      </c>
      <c r="S7">
        <v>2</v>
      </c>
      <c r="T7">
        <v>3</v>
      </c>
      <c r="U7">
        <v>6</v>
      </c>
      <c r="V7">
        <v>1</v>
      </c>
      <c r="W7">
        <v>3</v>
      </c>
      <c r="X7">
        <v>9</v>
      </c>
      <c r="Y7">
        <v>6</v>
      </c>
      <c r="Z7">
        <v>9</v>
      </c>
      <c r="AA7" t="s">
        <v>46</v>
      </c>
      <c r="AB7" t="s">
        <v>46</v>
      </c>
      <c r="AC7" t="s">
        <v>46</v>
      </c>
      <c r="AD7">
        <v>1</v>
      </c>
      <c r="AE7">
        <f t="shared" si="4"/>
        <v>60</v>
      </c>
      <c r="AF7">
        <f t="shared" si="6"/>
        <v>54</v>
      </c>
      <c r="AG7">
        <v>0</v>
      </c>
      <c r="AH7">
        <v>28</v>
      </c>
      <c r="AI7">
        <v>0</v>
      </c>
      <c r="AJ7">
        <v>5.4</v>
      </c>
      <c r="AK7">
        <v>1</v>
      </c>
      <c r="AL7">
        <v>29</v>
      </c>
      <c r="AM7">
        <v>31</v>
      </c>
      <c r="AN7">
        <v>0</v>
      </c>
      <c r="AO7">
        <v>1</v>
      </c>
      <c r="AP7">
        <v>0</v>
      </c>
      <c r="AQ7">
        <v>28</v>
      </c>
      <c r="AR7">
        <v>26</v>
      </c>
      <c r="AS7">
        <v>0</v>
      </c>
      <c r="AT7">
        <v>1</v>
      </c>
    </row>
    <row r="8" spans="1:46" x14ac:dyDescent="0.3">
      <c r="A8" t="s">
        <v>81</v>
      </c>
      <c r="B8" s="2">
        <v>43844</v>
      </c>
      <c r="C8" t="s">
        <v>85</v>
      </c>
      <c r="D8" t="s">
        <v>83</v>
      </c>
      <c r="E8" t="s">
        <v>67</v>
      </c>
      <c r="F8" t="s">
        <v>68</v>
      </c>
      <c r="G8">
        <v>1</v>
      </c>
      <c r="H8">
        <v>1</v>
      </c>
      <c r="I8">
        <f t="shared" si="7"/>
        <v>25</v>
      </c>
      <c r="J8">
        <v>32</v>
      </c>
      <c r="K8">
        <v>20</v>
      </c>
      <c r="L8">
        <f t="shared" si="5"/>
        <v>11</v>
      </c>
      <c r="M8">
        <v>2</v>
      </c>
      <c r="N8">
        <v>1</v>
      </c>
      <c r="O8">
        <v>0</v>
      </c>
      <c r="P8">
        <v>0</v>
      </c>
      <c r="Q8">
        <v>78.12</v>
      </c>
      <c r="R8" t="s">
        <v>53</v>
      </c>
      <c r="S8">
        <v>2</v>
      </c>
      <c r="T8">
        <v>0</v>
      </c>
      <c r="U8">
        <v>3</v>
      </c>
      <c r="V8">
        <v>9</v>
      </c>
      <c r="W8">
        <v>3</v>
      </c>
      <c r="X8">
        <v>0</v>
      </c>
      <c r="Y8">
        <v>1</v>
      </c>
      <c r="Z8">
        <v>7</v>
      </c>
      <c r="AA8" t="s">
        <v>61</v>
      </c>
      <c r="AB8" t="s">
        <v>70</v>
      </c>
      <c r="AC8" t="s">
        <v>88</v>
      </c>
      <c r="AD8">
        <v>1</v>
      </c>
      <c r="AE8">
        <f t="shared" si="4"/>
        <v>48</v>
      </c>
      <c r="AF8">
        <f t="shared" si="6"/>
        <v>41</v>
      </c>
      <c r="AG8">
        <v>0</v>
      </c>
      <c r="AH8">
        <v>27</v>
      </c>
      <c r="AI8">
        <v>1</v>
      </c>
      <c r="AJ8">
        <v>5.12</v>
      </c>
      <c r="AK8">
        <v>0</v>
      </c>
      <c r="AL8">
        <v>23</v>
      </c>
      <c r="AM8">
        <v>25</v>
      </c>
      <c r="AN8">
        <v>0</v>
      </c>
      <c r="AO8">
        <v>0</v>
      </c>
      <c r="AP8">
        <v>0</v>
      </c>
      <c r="AQ8">
        <v>13</v>
      </c>
      <c r="AR8">
        <v>27</v>
      </c>
      <c r="AS8">
        <v>0</v>
      </c>
      <c r="AT8">
        <v>0</v>
      </c>
    </row>
    <row r="9" spans="1:46" x14ac:dyDescent="0.3">
      <c r="A9" t="s">
        <v>89</v>
      </c>
      <c r="B9" s="2">
        <v>43847</v>
      </c>
      <c r="C9" t="s">
        <v>85</v>
      </c>
      <c r="D9" t="s">
        <v>90</v>
      </c>
      <c r="E9" t="s">
        <v>67</v>
      </c>
      <c r="F9" t="s">
        <v>52</v>
      </c>
      <c r="G9">
        <v>1</v>
      </c>
      <c r="H9">
        <v>1</v>
      </c>
      <c r="I9">
        <f t="shared" si="7"/>
        <v>20</v>
      </c>
      <c r="J9">
        <v>16</v>
      </c>
      <c r="K9">
        <v>2</v>
      </c>
      <c r="L9">
        <f>I9-(M9*4+N9*6)</f>
        <v>16</v>
      </c>
      <c r="M9">
        <v>1</v>
      </c>
      <c r="N9">
        <v>0</v>
      </c>
      <c r="O9">
        <v>0</v>
      </c>
      <c r="P9">
        <v>0</v>
      </c>
      <c r="Q9">
        <v>125</v>
      </c>
      <c r="R9" t="s">
        <v>60</v>
      </c>
      <c r="S9">
        <v>0</v>
      </c>
      <c r="T9">
        <v>1</v>
      </c>
      <c r="U9">
        <v>2</v>
      </c>
      <c r="V9">
        <v>1</v>
      </c>
      <c r="W9">
        <v>0</v>
      </c>
      <c r="X9">
        <v>6</v>
      </c>
      <c r="Y9">
        <v>1</v>
      </c>
      <c r="Z9">
        <v>9</v>
      </c>
      <c r="AA9" t="s">
        <v>46</v>
      </c>
      <c r="AB9" t="s">
        <v>46</v>
      </c>
      <c r="AC9" t="s">
        <v>46</v>
      </c>
      <c r="AD9">
        <v>1</v>
      </c>
      <c r="AE9">
        <f t="shared" si="4"/>
        <v>60</v>
      </c>
      <c r="AF9">
        <f t="shared" si="6"/>
        <v>58</v>
      </c>
      <c r="AG9">
        <v>0</v>
      </c>
      <c r="AH9">
        <v>22</v>
      </c>
      <c r="AI9">
        <v>1</v>
      </c>
      <c r="AJ9">
        <v>5.8</v>
      </c>
      <c r="AK9">
        <v>2</v>
      </c>
      <c r="AL9">
        <v>54</v>
      </c>
      <c r="AM9">
        <v>6</v>
      </c>
      <c r="AN9">
        <v>1</v>
      </c>
      <c r="AO9">
        <v>1</v>
      </c>
      <c r="AP9">
        <v>0</v>
      </c>
      <c r="AQ9">
        <v>53</v>
      </c>
      <c r="AR9">
        <v>4</v>
      </c>
      <c r="AS9">
        <v>2</v>
      </c>
      <c r="AT9">
        <v>0</v>
      </c>
    </row>
    <row r="10" spans="1:46" x14ac:dyDescent="0.3">
      <c r="A10" t="s">
        <v>93</v>
      </c>
      <c r="B10" s="2">
        <v>43849</v>
      </c>
      <c r="C10" t="s">
        <v>85</v>
      </c>
      <c r="D10" t="s">
        <v>97</v>
      </c>
      <c r="E10" t="s">
        <v>67</v>
      </c>
      <c r="F10" t="s">
        <v>52</v>
      </c>
      <c r="G10">
        <v>0</v>
      </c>
      <c r="H10">
        <v>0</v>
      </c>
      <c r="I10">
        <f t="shared" si="7"/>
        <v>0</v>
      </c>
      <c r="J10">
        <v>0</v>
      </c>
      <c r="K10">
        <v>0</v>
      </c>
      <c r="L10">
        <f>I10-(M10*4+N10*6)</f>
        <v>0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46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 t="s">
        <v>46</v>
      </c>
      <c r="AB10" t="s">
        <v>46</v>
      </c>
      <c r="AC10" t="s">
        <v>46</v>
      </c>
      <c r="AD10">
        <v>1</v>
      </c>
      <c r="AE10">
        <f t="shared" si="4"/>
        <v>60</v>
      </c>
      <c r="AF10">
        <f t="shared" si="6"/>
        <v>44</v>
      </c>
      <c r="AG10">
        <v>1</v>
      </c>
      <c r="AH10">
        <v>24</v>
      </c>
      <c r="AI10">
        <v>0</v>
      </c>
      <c r="AJ10">
        <v>4.4000000000000004</v>
      </c>
      <c r="AK10">
        <v>2</v>
      </c>
      <c r="AL10">
        <v>52</v>
      </c>
      <c r="AM10">
        <v>8</v>
      </c>
      <c r="AN10">
        <v>0</v>
      </c>
      <c r="AO10">
        <v>2</v>
      </c>
      <c r="AP10">
        <v>0</v>
      </c>
      <c r="AQ10">
        <v>40</v>
      </c>
      <c r="AR10">
        <v>4</v>
      </c>
      <c r="AS10">
        <v>1</v>
      </c>
      <c r="AT10">
        <v>1</v>
      </c>
    </row>
    <row r="11" spans="1:46" x14ac:dyDescent="0.3">
      <c r="A11" t="s">
        <v>99</v>
      </c>
      <c r="B11" s="2">
        <v>43866</v>
      </c>
      <c r="C11" t="s">
        <v>94</v>
      </c>
      <c r="D11" t="s">
        <v>100</v>
      </c>
      <c r="E11" t="s">
        <v>94</v>
      </c>
      <c r="F11" t="s">
        <v>68</v>
      </c>
      <c r="G11">
        <v>0</v>
      </c>
      <c r="H11">
        <v>0</v>
      </c>
      <c r="I11">
        <f t="shared" si="7"/>
        <v>0</v>
      </c>
      <c r="J11">
        <v>0</v>
      </c>
      <c r="K11">
        <v>0</v>
      </c>
      <c r="L11">
        <f>I11-(M11*4+N11*6)</f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46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 t="s">
        <v>46</v>
      </c>
      <c r="AB11" t="s">
        <v>46</v>
      </c>
      <c r="AC11" t="s">
        <v>46</v>
      </c>
      <c r="AD11">
        <v>1</v>
      </c>
      <c r="AE11">
        <f t="shared" si="4"/>
        <v>60</v>
      </c>
      <c r="AF11">
        <f t="shared" si="6"/>
        <v>64</v>
      </c>
      <c r="AG11">
        <v>0</v>
      </c>
      <c r="AH11">
        <v>23</v>
      </c>
      <c r="AI11">
        <v>1</v>
      </c>
      <c r="AJ11">
        <v>6.4</v>
      </c>
      <c r="AK11">
        <v>0</v>
      </c>
      <c r="AL11">
        <v>37</v>
      </c>
      <c r="AM11">
        <v>23</v>
      </c>
      <c r="AN11">
        <v>0</v>
      </c>
      <c r="AO11">
        <v>0</v>
      </c>
      <c r="AP11">
        <v>0</v>
      </c>
      <c r="AQ11">
        <v>42</v>
      </c>
      <c r="AR11">
        <v>21</v>
      </c>
      <c r="AS11">
        <v>0</v>
      </c>
      <c r="AT11">
        <v>0</v>
      </c>
    </row>
    <row r="12" spans="1:46" x14ac:dyDescent="0.3">
      <c r="A12" t="s">
        <v>103</v>
      </c>
      <c r="B12" s="2">
        <v>43869</v>
      </c>
      <c r="C12" t="s">
        <v>94</v>
      </c>
      <c r="D12" t="s">
        <v>104</v>
      </c>
      <c r="E12" t="s">
        <v>94</v>
      </c>
      <c r="F12" t="s">
        <v>68</v>
      </c>
      <c r="G12">
        <v>1</v>
      </c>
      <c r="H12">
        <v>2</v>
      </c>
      <c r="I12">
        <f t="shared" si="7"/>
        <v>55</v>
      </c>
      <c r="J12">
        <v>73</v>
      </c>
      <c r="K12">
        <v>37</v>
      </c>
      <c r="L12">
        <f>I12-(M12*4+N12*6)</f>
        <v>41</v>
      </c>
      <c r="M12">
        <v>2</v>
      </c>
      <c r="N12">
        <v>1</v>
      </c>
      <c r="O12">
        <v>1</v>
      </c>
      <c r="P12">
        <v>0</v>
      </c>
      <c r="Q12">
        <v>75.34</v>
      </c>
      <c r="R12" t="s">
        <v>53</v>
      </c>
      <c r="S12">
        <v>5</v>
      </c>
      <c r="T12">
        <v>4</v>
      </c>
      <c r="U12">
        <v>8</v>
      </c>
      <c r="V12">
        <v>3</v>
      </c>
      <c r="W12">
        <v>10</v>
      </c>
      <c r="X12">
        <v>11</v>
      </c>
      <c r="Y12">
        <v>4</v>
      </c>
      <c r="Z12">
        <v>10</v>
      </c>
      <c r="AA12" t="s">
        <v>61</v>
      </c>
      <c r="AB12" t="s">
        <v>56</v>
      </c>
      <c r="AC12" t="s">
        <v>105</v>
      </c>
      <c r="AD12">
        <v>1</v>
      </c>
      <c r="AE12">
        <f t="shared" si="4"/>
        <v>60</v>
      </c>
      <c r="AF12">
        <f t="shared" si="6"/>
        <v>35</v>
      </c>
      <c r="AG12">
        <v>0</v>
      </c>
      <c r="AH12">
        <v>34</v>
      </c>
      <c r="AI12">
        <v>0</v>
      </c>
      <c r="AJ12">
        <v>3.5</v>
      </c>
      <c r="AK12">
        <v>1</v>
      </c>
      <c r="AL12">
        <v>44</v>
      </c>
      <c r="AM12">
        <v>16</v>
      </c>
      <c r="AN12">
        <v>0</v>
      </c>
      <c r="AO12">
        <v>1</v>
      </c>
      <c r="AP12">
        <v>0</v>
      </c>
      <c r="AQ12">
        <v>30</v>
      </c>
      <c r="AR12">
        <v>5</v>
      </c>
      <c r="AS12">
        <v>0</v>
      </c>
      <c r="AT12">
        <v>1</v>
      </c>
    </row>
    <row r="13" spans="1:46" x14ac:dyDescent="0.3">
      <c r="A13" t="s">
        <v>107</v>
      </c>
      <c r="B13" s="2">
        <v>43872</v>
      </c>
      <c r="C13" t="s">
        <v>94</v>
      </c>
      <c r="D13" t="s">
        <v>108</v>
      </c>
      <c r="E13" t="s">
        <v>94</v>
      </c>
      <c r="F13" t="s">
        <v>68</v>
      </c>
      <c r="G13">
        <v>1</v>
      </c>
      <c r="H13">
        <v>1</v>
      </c>
      <c r="I13">
        <f t="shared" si="7"/>
        <v>8</v>
      </c>
      <c r="J13">
        <v>7</v>
      </c>
      <c r="K13">
        <v>2</v>
      </c>
      <c r="L13">
        <f>I13-(M13*4+N13*6)</f>
        <v>4</v>
      </c>
      <c r="M13">
        <v>1</v>
      </c>
      <c r="N13">
        <v>0</v>
      </c>
      <c r="O13">
        <v>0</v>
      </c>
      <c r="P13">
        <v>0</v>
      </c>
      <c r="Q13">
        <v>114.28</v>
      </c>
      <c r="R13" t="s">
        <v>60</v>
      </c>
      <c r="S13">
        <v>0</v>
      </c>
      <c r="T13">
        <v>1</v>
      </c>
      <c r="U13">
        <v>1</v>
      </c>
      <c r="V13">
        <v>1</v>
      </c>
      <c r="W13">
        <v>1</v>
      </c>
      <c r="X13">
        <v>4</v>
      </c>
      <c r="Y13">
        <v>0</v>
      </c>
      <c r="Z13">
        <v>0</v>
      </c>
      <c r="AA13" t="s">
        <v>46</v>
      </c>
      <c r="AB13" t="s">
        <v>46</v>
      </c>
      <c r="AC13" t="s">
        <v>46</v>
      </c>
      <c r="AD13">
        <v>1</v>
      </c>
      <c r="AE13">
        <f t="shared" si="4"/>
        <v>60</v>
      </c>
      <c r="AF13">
        <f t="shared" si="6"/>
        <v>45</v>
      </c>
      <c r="AG13">
        <v>0</v>
      </c>
      <c r="AH13">
        <v>25</v>
      </c>
      <c r="AI13">
        <v>0</v>
      </c>
      <c r="AJ13">
        <v>4.5</v>
      </c>
      <c r="AK13">
        <v>1</v>
      </c>
      <c r="AL13">
        <v>27</v>
      </c>
      <c r="AM13">
        <v>33</v>
      </c>
      <c r="AN13">
        <v>0</v>
      </c>
      <c r="AO13">
        <v>1</v>
      </c>
      <c r="AP13">
        <v>0</v>
      </c>
      <c r="AQ13">
        <v>23</v>
      </c>
      <c r="AR13">
        <v>22</v>
      </c>
      <c r="AS13">
        <v>1</v>
      </c>
      <c r="AT13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155C0-9C37-4AA0-AF8D-0927F8767867}">
  <dimension ref="A1:AT1"/>
  <sheetViews>
    <sheetView topLeftCell="AC1" workbookViewId="0">
      <selection activeCell="AL1" sqref="AL1:AL1048576"/>
    </sheetView>
  </sheetViews>
  <sheetFormatPr defaultRowHeight="14.4" x14ac:dyDescent="0.3"/>
  <sheetData>
    <row r="1" spans="1:46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45</v>
      </c>
      <c r="H1" s="1" t="s">
        <v>18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17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19</v>
      </c>
      <c r="AB1" s="1" t="s">
        <v>20</v>
      </c>
      <c r="AC1" s="1" t="s">
        <v>21</v>
      </c>
      <c r="AD1" s="1" t="s">
        <v>49</v>
      </c>
      <c r="AE1" s="1" t="s">
        <v>34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76</v>
      </c>
      <c r="AM1" s="1" t="s">
        <v>77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47</v>
      </c>
      <c r="AT1" s="1" t="s">
        <v>50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6263B-8E84-4032-8949-3474DA5A40F4}">
  <dimension ref="A1:AT1"/>
  <sheetViews>
    <sheetView topLeftCell="AB1" workbookViewId="0">
      <selection activeCell="AL1" sqref="AL1:AL1048576"/>
    </sheetView>
  </sheetViews>
  <sheetFormatPr defaultRowHeight="14.4" x14ac:dyDescent="0.3"/>
  <sheetData>
    <row r="1" spans="1:46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45</v>
      </c>
      <c r="H1" s="1" t="s">
        <v>18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17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19</v>
      </c>
      <c r="AB1" s="1" t="s">
        <v>20</v>
      </c>
      <c r="AC1" s="1" t="s">
        <v>21</v>
      </c>
      <c r="AD1" s="1" t="s">
        <v>49</v>
      </c>
      <c r="AE1" s="1" t="s">
        <v>34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76</v>
      </c>
      <c r="AM1" s="1" t="s">
        <v>77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47</v>
      </c>
      <c r="AT1" s="1" t="s">
        <v>50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F4939-98A1-46E2-89EA-6C46F349A13D}">
  <dimension ref="A1:W7"/>
  <sheetViews>
    <sheetView topLeftCell="H1" workbookViewId="0">
      <selection activeCell="H2" sqref="H2"/>
    </sheetView>
  </sheetViews>
  <sheetFormatPr defaultRowHeight="14.4" x14ac:dyDescent="0.3"/>
  <cols>
    <col min="1" max="1" width="11" bestFit="1" customWidth="1"/>
    <col min="2" max="2" width="11.33203125" bestFit="1" customWidth="1"/>
    <col min="3" max="3" width="11.6640625" bestFit="1" customWidth="1"/>
    <col min="4" max="4" width="15.5546875" bestFit="1" customWidth="1"/>
    <col min="5" max="5" width="11.6640625" bestFit="1" customWidth="1"/>
    <col min="6" max="6" width="12.5546875" bestFit="1" customWidth="1"/>
    <col min="7" max="7" width="9.6640625" bestFit="1" customWidth="1"/>
    <col min="8" max="8" width="12.6640625" bestFit="1" customWidth="1"/>
    <col min="9" max="9" width="15.88671875" bestFit="1" customWidth="1"/>
    <col min="13" max="13" width="9.33203125" bestFit="1" customWidth="1"/>
    <col min="15" max="15" width="12.6640625" bestFit="1" customWidth="1"/>
    <col min="16" max="16" width="12.33203125" bestFit="1" customWidth="1"/>
    <col min="17" max="17" width="15.21875" bestFit="1" customWidth="1"/>
    <col min="18" max="19" width="16.6640625" bestFit="1" customWidth="1"/>
    <col min="20" max="20" width="10.21875" bestFit="1" customWidth="1"/>
    <col min="21" max="21" width="10" bestFit="1" customWidth="1"/>
    <col min="22" max="23" width="12" bestFit="1" customWidth="1"/>
  </cols>
  <sheetData>
    <row r="1" spans="1:23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49</v>
      </c>
      <c r="H1" s="1" t="s">
        <v>34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76</v>
      </c>
      <c r="P1" s="1" t="s">
        <v>77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47</v>
      </c>
      <c r="W1" s="1" t="s">
        <v>48</v>
      </c>
    </row>
    <row r="2" spans="1:23" x14ac:dyDescent="0.3">
      <c r="A2" t="s">
        <v>81</v>
      </c>
      <c r="B2" s="2">
        <v>43844</v>
      </c>
      <c r="C2" t="s">
        <v>85</v>
      </c>
      <c r="D2" t="s">
        <v>83</v>
      </c>
      <c r="E2" t="s">
        <v>67</v>
      </c>
      <c r="F2" t="s">
        <v>68</v>
      </c>
      <c r="G2">
        <v>1</v>
      </c>
      <c r="H2">
        <f t="shared" ref="H2:H7" si="0">O2+P2</f>
        <v>42</v>
      </c>
      <c r="I2">
        <f t="shared" ref="I2:I7" si="1">L2+T2+U2</f>
        <v>50</v>
      </c>
      <c r="J2">
        <v>0</v>
      </c>
      <c r="K2">
        <v>24</v>
      </c>
      <c r="L2">
        <v>1</v>
      </c>
      <c r="M2">
        <v>7.14</v>
      </c>
      <c r="N2">
        <v>0</v>
      </c>
      <c r="O2">
        <v>20</v>
      </c>
      <c r="P2">
        <v>22</v>
      </c>
      <c r="Q2">
        <v>0</v>
      </c>
      <c r="R2">
        <v>0</v>
      </c>
      <c r="S2">
        <v>0</v>
      </c>
      <c r="T2">
        <v>19</v>
      </c>
      <c r="U2">
        <v>30</v>
      </c>
      <c r="V2">
        <v>0</v>
      </c>
      <c r="W2">
        <v>0</v>
      </c>
    </row>
    <row r="3" spans="1:23" x14ac:dyDescent="0.3">
      <c r="A3" t="s">
        <v>89</v>
      </c>
      <c r="B3" s="2">
        <v>43847</v>
      </c>
      <c r="C3" t="s">
        <v>85</v>
      </c>
      <c r="D3" t="s">
        <v>90</v>
      </c>
      <c r="E3" t="s">
        <v>67</v>
      </c>
      <c r="F3" t="s">
        <v>52</v>
      </c>
      <c r="G3">
        <v>1</v>
      </c>
      <c r="H3">
        <f t="shared" si="0"/>
        <v>55</v>
      </c>
      <c r="I3">
        <f t="shared" si="1"/>
        <v>32</v>
      </c>
      <c r="J3">
        <v>2</v>
      </c>
      <c r="K3">
        <v>37</v>
      </c>
      <c r="L3">
        <v>5</v>
      </c>
      <c r="M3">
        <v>3.51</v>
      </c>
      <c r="N3">
        <v>1</v>
      </c>
      <c r="O3">
        <v>43</v>
      </c>
      <c r="P3">
        <v>12</v>
      </c>
      <c r="Q3">
        <v>0</v>
      </c>
      <c r="R3">
        <v>0</v>
      </c>
      <c r="S3">
        <v>1</v>
      </c>
      <c r="T3">
        <v>19</v>
      </c>
      <c r="U3">
        <v>8</v>
      </c>
      <c r="V3">
        <v>1</v>
      </c>
      <c r="W3">
        <v>0</v>
      </c>
    </row>
    <row r="4" spans="1:23" x14ac:dyDescent="0.3">
      <c r="A4" t="s">
        <v>93</v>
      </c>
      <c r="B4" s="2">
        <v>43849</v>
      </c>
      <c r="C4" t="s">
        <v>85</v>
      </c>
      <c r="D4" t="s">
        <v>97</v>
      </c>
      <c r="E4" t="s">
        <v>67</v>
      </c>
      <c r="F4" t="s">
        <v>52</v>
      </c>
      <c r="G4">
        <v>1</v>
      </c>
      <c r="H4">
        <f t="shared" si="0"/>
        <v>60</v>
      </c>
      <c r="I4">
        <f t="shared" si="1"/>
        <v>38</v>
      </c>
      <c r="J4">
        <v>0</v>
      </c>
      <c r="K4">
        <v>39</v>
      </c>
      <c r="L4">
        <v>8</v>
      </c>
      <c r="M4">
        <v>3.8</v>
      </c>
      <c r="N4">
        <v>0</v>
      </c>
      <c r="O4">
        <v>40</v>
      </c>
      <c r="P4">
        <v>20</v>
      </c>
      <c r="Q4">
        <v>0</v>
      </c>
      <c r="R4">
        <v>0</v>
      </c>
      <c r="S4">
        <v>0</v>
      </c>
      <c r="T4">
        <v>19</v>
      </c>
      <c r="U4">
        <v>11</v>
      </c>
      <c r="V4">
        <v>0</v>
      </c>
      <c r="W4">
        <v>0</v>
      </c>
    </row>
    <row r="5" spans="1:23" x14ac:dyDescent="0.3">
      <c r="A5" t="s">
        <v>99</v>
      </c>
      <c r="B5" s="2">
        <v>43866</v>
      </c>
      <c r="C5" t="s">
        <v>94</v>
      </c>
      <c r="D5" t="s">
        <v>100</v>
      </c>
      <c r="E5" t="s">
        <v>94</v>
      </c>
      <c r="F5" t="s">
        <v>68</v>
      </c>
      <c r="G5">
        <v>1</v>
      </c>
      <c r="H5">
        <f t="shared" si="0"/>
        <v>60</v>
      </c>
      <c r="I5">
        <f t="shared" si="1"/>
        <v>53</v>
      </c>
      <c r="J5">
        <v>1</v>
      </c>
      <c r="K5">
        <v>37</v>
      </c>
      <c r="L5">
        <v>13</v>
      </c>
      <c r="M5">
        <v>5.3</v>
      </c>
      <c r="N5">
        <v>0</v>
      </c>
      <c r="O5">
        <v>19</v>
      </c>
      <c r="P5">
        <v>41</v>
      </c>
      <c r="Q5">
        <v>0</v>
      </c>
      <c r="R5">
        <v>0</v>
      </c>
      <c r="S5">
        <v>0</v>
      </c>
      <c r="T5">
        <v>14</v>
      </c>
      <c r="U5">
        <v>26</v>
      </c>
      <c r="V5">
        <v>0</v>
      </c>
      <c r="W5">
        <v>0</v>
      </c>
    </row>
    <row r="6" spans="1:23" x14ac:dyDescent="0.3">
      <c r="A6" t="s">
        <v>103</v>
      </c>
      <c r="B6" s="2">
        <v>43869</v>
      </c>
      <c r="C6" t="s">
        <v>94</v>
      </c>
      <c r="D6" t="s">
        <v>104</v>
      </c>
      <c r="E6" t="s">
        <v>94</v>
      </c>
      <c r="F6" t="s">
        <v>68</v>
      </c>
      <c r="G6">
        <v>1</v>
      </c>
      <c r="H6">
        <f t="shared" si="0"/>
        <v>60</v>
      </c>
      <c r="I6">
        <f t="shared" si="1"/>
        <v>64</v>
      </c>
      <c r="J6">
        <v>0</v>
      </c>
      <c r="K6">
        <v>25</v>
      </c>
      <c r="L6">
        <v>0</v>
      </c>
      <c r="M6">
        <v>6.4</v>
      </c>
      <c r="N6">
        <v>0</v>
      </c>
      <c r="O6">
        <v>45</v>
      </c>
      <c r="P6">
        <v>15</v>
      </c>
      <c r="Q6">
        <v>0</v>
      </c>
      <c r="R6">
        <v>0</v>
      </c>
      <c r="S6">
        <v>0</v>
      </c>
      <c r="T6">
        <v>55</v>
      </c>
      <c r="U6">
        <v>9</v>
      </c>
      <c r="V6">
        <v>0</v>
      </c>
      <c r="W6">
        <v>0</v>
      </c>
    </row>
    <row r="7" spans="1:23" x14ac:dyDescent="0.3">
      <c r="A7" t="s">
        <v>107</v>
      </c>
      <c r="B7" s="2">
        <v>43872</v>
      </c>
      <c r="C7" t="s">
        <v>94</v>
      </c>
      <c r="D7" t="s">
        <v>108</v>
      </c>
      <c r="E7" t="s">
        <v>94</v>
      </c>
      <c r="F7" t="s">
        <v>68</v>
      </c>
      <c r="G7">
        <v>1</v>
      </c>
      <c r="H7">
        <f t="shared" si="0"/>
        <v>60</v>
      </c>
      <c r="I7">
        <f t="shared" si="1"/>
        <v>50</v>
      </c>
      <c r="J7">
        <v>0</v>
      </c>
      <c r="K7">
        <v>32</v>
      </c>
      <c r="L7">
        <v>0</v>
      </c>
      <c r="M7">
        <v>5</v>
      </c>
      <c r="N7">
        <v>0</v>
      </c>
      <c r="O7">
        <v>26</v>
      </c>
      <c r="P7">
        <v>34</v>
      </c>
      <c r="Q7">
        <v>0</v>
      </c>
      <c r="R7">
        <v>0</v>
      </c>
      <c r="S7">
        <v>0</v>
      </c>
      <c r="T7">
        <v>29</v>
      </c>
      <c r="U7">
        <v>21</v>
      </c>
      <c r="V7">
        <v>0</v>
      </c>
      <c r="W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AF426-FF25-4D49-B458-9633869B5B27}">
  <dimension ref="A1:W11"/>
  <sheetViews>
    <sheetView workbookViewId="0">
      <selection activeCell="H8" sqref="H8"/>
    </sheetView>
  </sheetViews>
  <sheetFormatPr defaultRowHeight="14.4" x14ac:dyDescent="0.3"/>
  <cols>
    <col min="1" max="1" width="11" bestFit="1" customWidth="1"/>
    <col min="2" max="2" width="11.33203125" bestFit="1" customWidth="1"/>
    <col min="3" max="3" width="11.6640625" bestFit="1" customWidth="1"/>
    <col min="4" max="4" width="15.21875" bestFit="1" customWidth="1"/>
    <col min="5" max="5" width="11.6640625" bestFit="1" customWidth="1"/>
    <col min="6" max="6" width="12.5546875" bestFit="1" customWidth="1"/>
    <col min="7" max="7" width="9.6640625" bestFit="1" customWidth="1"/>
    <col min="8" max="8" width="12.6640625" bestFit="1" customWidth="1"/>
    <col min="9" max="9" width="15.88671875" bestFit="1" customWidth="1"/>
    <col min="10" max="10" width="8.5546875" bestFit="1" customWidth="1"/>
    <col min="11" max="11" width="9.44140625" bestFit="1" customWidth="1"/>
    <col min="12" max="12" width="6.5546875" bestFit="1" customWidth="1"/>
    <col min="13" max="13" width="9.33203125" bestFit="1" customWidth="1"/>
    <col min="15" max="15" width="12.6640625" bestFit="1" customWidth="1"/>
    <col min="16" max="16" width="12.33203125" bestFit="1" customWidth="1"/>
    <col min="17" max="17" width="15.21875" bestFit="1" customWidth="1"/>
    <col min="18" max="19" width="16.6640625" bestFit="1" customWidth="1"/>
    <col min="20" max="20" width="10.21875" bestFit="1" customWidth="1"/>
    <col min="21" max="21" width="10" bestFit="1" customWidth="1"/>
    <col min="22" max="23" width="12" bestFit="1" customWidth="1"/>
  </cols>
  <sheetData>
    <row r="1" spans="1:23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49</v>
      </c>
      <c r="H1" s="1" t="s">
        <v>34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76</v>
      </c>
      <c r="P1" s="1" t="s">
        <v>77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47</v>
      </c>
      <c r="W1" s="1" t="s">
        <v>48</v>
      </c>
    </row>
    <row r="2" spans="1:23" x14ac:dyDescent="0.3">
      <c r="A2" t="s">
        <v>40</v>
      </c>
      <c r="B2" s="2">
        <v>43685</v>
      </c>
      <c r="C2" t="s">
        <v>41</v>
      </c>
      <c r="D2" t="s">
        <v>42</v>
      </c>
      <c r="E2" t="s">
        <v>41</v>
      </c>
      <c r="F2" t="s">
        <v>43</v>
      </c>
      <c r="G2">
        <v>1</v>
      </c>
      <c r="H2">
        <f>O2+P2</f>
        <v>18</v>
      </c>
      <c r="I2">
        <f t="shared" ref="I2:I5" si="0">L2+T2+U2</f>
        <v>5</v>
      </c>
      <c r="J2">
        <v>0</v>
      </c>
      <c r="K2">
        <f>4+3+5</f>
        <v>12</v>
      </c>
      <c r="L2">
        <v>0</v>
      </c>
      <c r="M2">
        <v>1.66</v>
      </c>
      <c r="N2">
        <v>0</v>
      </c>
      <c r="O2">
        <v>0</v>
      </c>
      <c r="P2">
        <v>18</v>
      </c>
      <c r="Q2">
        <v>0</v>
      </c>
      <c r="R2">
        <v>0</v>
      </c>
      <c r="S2">
        <v>0</v>
      </c>
      <c r="T2">
        <v>0</v>
      </c>
      <c r="U2">
        <v>5</v>
      </c>
      <c r="V2">
        <v>0</v>
      </c>
      <c r="W2">
        <v>0</v>
      </c>
    </row>
    <row r="3" spans="1:23" x14ac:dyDescent="0.3">
      <c r="A3" t="s">
        <v>44</v>
      </c>
      <c r="B3" s="2">
        <v>43686</v>
      </c>
      <c r="C3" t="s">
        <v>41</v>
      </c>
      <c r="D3" t="s">
        <v>51</v>
      </c>
      <c r="E3" t="s">
        <v>41</v>
      </c>
      <c r="F3" t="s">
        <v>52</v>
      </c>
      <c r="G3">
        <v>1</v>
      </c>
      <c r="H3">
        <f>O3+P3</f>
        <v>48</v>
      </c>
      <c r="I3">
        <f t="shared" si="0"/>
        <v>39</v>
      </c>
      <c r="J3">
        <v>0</v>
      </c>
      <c r="K3">
        <v>31</v>
      </c>
      <c r="L3">
        <v>2</v>
      </c>
      <c r="M3">
        <v>4.87</v>
      </c>
      <c r="N3">
        <v>2</v>
      </c>
      <c r="O3">
        <v>15</v>
      </c>
      <c r="P3">
        <v>33</v>
      </c>
      <c r="Q3">
        <v>1</v>
      </c>
      <c r="R3">
        <v>0</v>
      </c>
      <c r="S3">
        <v>1</v>
      </c>
      <c r="T3">
        <v>14</v>
      </c>
      <c r="U3">
        <v>23</v>
      </c>
      <c r="V3">
        <v>1</v>
      </c>
      <c r="W3">
        <v>1</v>
      </c>
    </row>
    <row r="4" spans="1:23" x14ac:dyDescent="0.3">
      <c r="A4" t="s">
        <v>62</v>
      </c>
      <c r="B4" s="2">
        <v>43691</v>
      </c>
      <c r="C4" t="s">
        <v>41</v>
      </c>
      <c r="D4" t="s">
        <v>51</v>
      </c>
      <c r="E4" t="s">
        <v>41</v>
      </c>
      <c r="F4" t="s">
        <v>52</v>
      </c>
      <c r="G4">
        <v>1</v>
      </c>
      <c r="H4">
        <f t="shared" ref="H4:H8" si="1">O4+P4</f>
        <v>42</v>
      </c>
      <c r="I4">
        <f t="shared" si="0"/>
        <v>50</v>
      </c>
      <c r="J4">
        <v>1</v>
      </c>
      <c r="K4">
        <v>20</v>
      </c>
      <c r="L4">
        <v>2</v>
      </c>
      <c r="M4">
        <v>7.14</v>
      </c>
      <c r="N4">
        <v>2</v>
      </c>
      <c r="O4">
        <v>16</v>
      </c>
      <c r="P4">
        <v>26</v>
      </c>
      <c r="Q4">
        <v>2</v>
      </c>
      <c r="R4">
        <v>0</v>
      </c>
      <c r="S4">
        <v>0</v>
      </c>
      <c r="T4">
        <v>13</v>
      </c>
      <c r="U4">
        <v>35</v>
      </c>
      <c r="V4">
        <v>0</v>
      </c>
      <c r="W4">
        <v>2</v>
      </c>
    </row>
    <row r="5" spans="1:23" x14ac:dyDescent="0.3">
      <c r="A5" t="s">
        <v>65</v>
      </c>
      <c r="B5" s="2">
        <v>43814</v>
      </c>
      <c r="C5" t="s">
        <v>41</v>
      </c>
      <c r="D5" t="s">
        <v>66</v>
      </c>
      <c r="E5" t="s">
        <v>67</v>
      </c>
      <c r="F5" t="s">
        <v>68</v>
      </c>
      <c r="G5">
        <v>1</v>
      </c>
      <c r="H5">
        <f t="shared" si="1"/>
        <v>54</v>
      </c>
      <c r="I5">
        <f t="shared" si="0"/>
        <v>57</v>
      </c>
      <c r="J5">
        <v>1</v>
      </c>
      <c r="K5">
        <v>27</v>
      </c>
      <c r="L5">
        <v>0</v>
      </c>
      <c r="M5">
        <v>6.33</v>
      </c>
      <c r="N5">
        <v>1</v>
      </c>
      <c r="O5">
        <v>35</v>
      </c>
      <c r="P5">
        <v>19</v>
      </c>
      <c r="Q5">
        <v>0</v>
      </c>
      <c r="R5">
        <v>0</v>
      </c>
      <c r="S5">
        <v>1</v>
      </c>
      <c r="T5">
        <v>29</v>
      </c>
      <c r="U5">
        <v>28</v>
      </c>
      <c r="V5">
        <v>0</v>
      </c>
      <c r="W5">
        <v>1</v>
      </c>
    </row>
    <row r="6" spans="1:23" x14ac:dyDescent="0.3">
      <c r="A6" t="s">
        <v>73</v>
      </c>
      <c r="B6" s="2">
        <v>43817</v>
      </c>
      <c r="C6" t="s">
        <v>41</v>
      </c>
      <c r="D6" t="s">
        <v>74</v>
      </c>
      <c r="E6" t="s">
        <v>67</v>
      </c>
      <c r="F6" t="s">
        <v>52</v>
      </c>
      <c r="G6">
        <v>1</v>
      </c>
      <c r="H6">
        <f t="shared" si="1"/>
        <v>45</v>
      </c>
      <c r="I6">
        <f t="shared" ref="I6:I11" si="2">L6+T6+U6</f>
        <v>39</v>
      </c>
      <c r="J6">
        <v>0</v>
      </c>
      <c r="K6">
        <v>27</v>
      </c>
      <c r="L6">
        <v>1</v>
      </c>
      <c r="M6">
        <v>5.34</v>
      </c>
      <c r="N6">
        <v>3</v>
      </c>
      <c r="O6">
        <v>21</v>
      </c>
      <c r="P6">
        <v>24</v>
      </c>
      <c r="Q6">
        <v>2</v>
      </c>
      <c r="R6">
        <v>0</v>
      </c>
      <c r="S6">
        <v>1</v>
      </c>
      <c r="T6">
        <v>15</v>
      </c>
      <c r="U6">
        <v>23</v>
      </c>
      <c r="V6">
        <v>2</v>
      </c>
      <c r="W6">
        <v>1</v>
      </c>
    </row>
    <row r="7" spans="1:23" x14ac:dyDescent="0.3">
      <c r="A7" t="s">
        <v>78</v>
      </c>
      <c r="B7" s="2">
        <v>43821</v>
      </c>
      <c r="C7" t="s">
        <v>41</v>
      </c>
      <c r="D7" t="s">
        <v>79</v>
      </c>
      <c r="E7" t="s">
        <v>67</v>
      </c>
      <c r="F7" t="s">
        <v>52</v>
      </c>
      <c r="G7">
        <v>1</v>
      </c>
      <c r="H7">
        <f t="shared" si="1"/>
        <v>60</v>
      </c>
      <c r="I7">
        <f t="shared" si="2"/>
        <v>66</v>
      </c>
      <c r="J7">
        <v>2</v>
      </c>
      <c r="K7">
        <v>27</v>
      </c>
      <c r="L7">
        <v>0</v>
      </c>
      <c r="M7">
        <v>6.6</v>
      </c>
      <c r="N7">
        <v>1</v>
      </c>
      <c r="O7">
        <v>33</v>
      </c>
      <c r="P7">
        <v>27</v>
      </c>
      <c r="Q7">
        <v>0</v>
      </c>
      <c r="R7">
        <v>1</v>
      </c>
      <c r="S7">
        <v>0</v>
      </c>
      <c r="T7">
        <v>45</v>
      </c>
      <c r="U7">
        <v>21</v>
      </c>
      <c r="V7">
        <v>1</v>
      </c>
      <c r="W7">
        <v>0</v>
      </c>
    </row>
    <row r="8" spans="1:23" x14ac:dyDescent="0.3">
      <c r="A8" t="s">
        <v>81</v>
      </c>
      <c r="B8" s="2">
        <v>43844</v>
      </c>
      <c r="C8" t="s">
        <v>85</v>
      </c>
      <c r="D8" t="s">
        <v>83</v>
      </c>
      <c r="E8" t="s">
        <v>67</v>
      </c>
      <c r="F8" t="s">
        <v>68</v>
      </c>
      <c r="G8">
        <v>1</v>
      </c>
      <c r="H8">
        <f t="shared" si="1"/>
        <v>46</v>
      </c>
      <c r="I8">
        <f t="shared" si="2"/>
        <v>58</v>
      </c>
      <c r="J8">
        <v>0</v>
      </c>
      <c r="K8">
        <v>23</v>
      </c>
      <c r="L8">
        <v>1</v>
      </c>
      <c r="M8">
        <v>7.83</v>
      </c>
      <c r="N8">
        <v>0</v>
      </c>
      <c r="O8">
        <v>26</v>
      </c>
      <c r="P8">
        <v>20</v>
      </c>
      <c r="Q8">
        <v>0</v>
      </c>
      <c r="R8">
        <v>0</v>
      </c>
      <c r="S8">
        <v>0</v>
      </c>
      <c r="T8">
        <v>40</v>
      </c>
      <c r="U8">
        <v>17</v>
      </c>
      <c r="V8">
        <v>0</v>
      </c>
      <c r="W8">
        <v>0</v>
      </c>
    </row>
    <row r="9" spans="1:23" x14ac:dyDescent="0.3">
      <c r="A9" t="s">
        <v>89</v>
      </c>
      <c r="B9" s="2">
        <v>43847</v>
      </c>
      <c r="C9" t="s">
        <v>85</v>
      </c>
      <c r="D9" t="s">
        <v>90</v>
      </c>
      <c r="E9" t="s">
        <v>67</v>
      </c>
      <c r="F9" t="s">
        <v>52</v>
      </c>
      <c r="G9">
        <v>1</v>
      </c>
      <c r="H9">
        <f>O9+P9</f>
        <v>60</v>
      </c>
      <c r="I9">
        <f t="shared" si="2"/>
        <v>77</v>
      </c>
      <c r="J9">
        <v>0</v>
      </c>
      <c r="K9">
        <v>24</v>
      </c>
      <c r="L9">
        <v>4</v>
      </c>
      <c r="M9">
        <v>7.7</v>
      </c>
      <c r="N9">
        <v>3</v>
      </c>
      <c r="O9">
        <v>45</v>
      </c>
      <c r="P9">
        <v>15</v>
      </c>
      <c r="Q9">
        <v>2</v>
      </c>
      <c r="R9">
        <v>0</v>
      </c>
      <c r="S9">
        <v>1</v>
      </c>
      <c r="T9">
        <v>60</v>
      </c>
      <c r="U9">
        <v>13</v>
      </c>
      <c r="V9">
        <v>2</v>
      </c>
      <c r="W9">
        <v>1</v>
      </c>
    </row>
    <row r="10" spans="1:23" x14ac:dyDescent="0.3">
      <c r="A10" t="s">
        <v>93</v>
      </c>
      <c r="B10" s="2">
        <v>43849</v>
      </c>
      <c r="C10" t="s">
        <v>85</v>
      </c>
      <c r="D10" t="s">
        <v>97</v>
      </c>
      <c r="E10" t="s">
        <v>67</v>
      </c>
      <c r="F10" t="s">
        <v>52</v>
      </c>
      <c r="G10">
        <v>1</v>
      </c>
      <c r="H10">
        <f>O10+P10</f>
        <v>60</v>
      </c>
      <c r="I10">
        <f t="shared" si="2"/>
        <v>63</v>
      </c>
      <c r="J10">
        <v>0</v>
      </c>
      <c r="K10">
        <v>28</v>
      </c>
      <c r="L10">
        <v>4</v>
      </c>
      <c r="M10">
        <v>6.3</v>
      </c>
      <c r="N10">
        <v>4</v>
      </c>
      <c r="O10">
        <v>41</v>
      </c>
      <c r="P10">
        <v>19</v>
      </c>
      <c r="Q10">
        <v>3</v>
      </c>
      <c r="R10">
        <v>0</v>
      </c>
      <c r="S10">
        <v>1</v>
      </c>
      <c r="T10">
        <v>45</v>
      </c>
      <c r="U10">
        <v>14</v>
      </c>
      <c r="V10">
        <v>3</v>
      </c>
      <c r="W10">
        <v>1</v>
      </c>
    </row>
    <row r="11" spans="1:23" x14ac:dyDescent="0.3">
      <c r="A11" t="s">
        <v>99</v>
      </c>
      <c r="B11" s="2">
        <v>43866</v>
      </c>
      <c r="C11" t="s">
        <v>94</v>
      </c>
      <c r="D11" t="s">
        <v>100</v>
      </c>
      <c r="E11" t="s">
        <v>94</v>
      </c>
      <c r="F11" t="s">
        <v>68</v>
      </c>
      <c r="G11">
        <v>1</v>
      </c>
      <c r="H11">
        <f>O11+P11</f>
        <v>55</v>
      </c>
      <c r="I11">
        <f t="shared" si="2"/>
        <v>63</v>
      </c>
      <c r="J11">
        <v>0</v>
      </c>
      <c r="K11">
        <v>27</v>
      </c>
      <c r="L11">
        <v>7</v>
      </c>
      <c r="M11">
        <v>6.92</v>
      </c>
      <c r="N11">
        <v>1</v>
      </c>
      <c r="O11">
        <v>22</v>
      </c>
      <c r="P11">
        <v>33</v>
      </c>
      <c r="Q11">
        <v>1</v>
      </c>
      <c r="R11">
        <v>0</v>
      </c>
      <c r="S11">
        <v>0</v>
      </c>
      <c r="T11">
        <v>26</v>
      </c>
      <c r="U11">
        <v>30</v>
      </c>
      <c r="V11">
        <v>0</v>
      </c>
      <c r="W11">
        <v>1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BF40C-70B5-4E1A-95F3-AA83B10611C6}">
  <dimension ref="A1:W1"/>
  <sheetViews>
    <sheetView workbookViewId="0">
      <selection activeCell="O1" sqref="O1:O1048576"/>
    </sheetView>
  </sheetViews>
  <sheetFormatPr defaultRowHeight="14.4" x14ac:dyDescent="0.3"/>
  <cols>
    <col min="1" max="1" width="9" bestFit="1" customWidth="1"/>
    <col min="2" max="2" width="11.33203125" bestFit="1" customWidth="1"/>
    <col min="3" max="3" width="10" bestFit="1" customWidth="1"/>
    <col min="6" max="6" width="12.5546875" bestFit="1" customWidth="1"/>
    <col min="7" max="7" width="9.6640625" bestFit="1" customWidth="1"/>
    <col min="8" max="8" width="12.6640625" bestFit="1" customWidth="1"/>
    <col min="9" max="9" width="15.88671875" bestFit="1" customWidth="1"/>
    <col min="15" max="15" width="12.6640625" bestFit="1" customWidth="1"/>
    <col min="16" max="16" width="12.33203125" bestFit="1" customWidth="1"/>
    <col min="17" max="17" width="15.21875" bestFit="1" customWidth="1"/>
    <col min="18" max="19" width="16.6640625" bestFit="1" customWidth="1"/>
    <col min="20" max="20" width="10.21875" bestFit="1" customWidth="1"/>
    <col min="21" max="21" width="10" bestFit="1" customWidth="1"/>
    <col min="22" max="23" width="12" bestFit="1" customWidth="1"/>
  </cols>
  <sheetData>
    <row r="1" spans="1:23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49</v>
      </c>
      <c r="H1" s="1" t="s">
        <v>34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76</v>
      </c>
      <c r="P1" s="1" t="s">
        <v>77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47</v>
      </c>
      <c r="W1" s="1" t="s">
        <v>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1C618-5872-4CFC-9C4D-691181635BB8}">
  <dimension ref="A1:W10"/>
  <sheetViews>
    <sheetView topLeftCell="H1" workbookViewId="0">
      <selection activeCell="H5" sqref="H5"/>
    </sheetView>
  </sheetViews>
  <sheetFormatPr defaultRowHeight="14.4" x14ac:dyDescent="0.3"/>
  <cols>
    <col min="1" max="1" width="11" bestFit="1" customWidth="1"/>
    <col min="2" max="2" width="11.33203125" bestFit="1" customWidth="1"/>
    <col min="3" max="3" width="11.6640625" bestFit="1" customWidth="1"/>
    <col min="4" max="4" width="15.21875" bestFit="1" customWidth="1"/>
    <col min="5" max="5" width="11.6640625" bestFit="1" customWidth="1"/>
    <col min="6" max="6" width="12.5546875" bestFit="1" customWidth="1"/>
    <col min="7" max="7" width="9.6640625" bestFit="1" customWidth="1"/>
    <col min="8" max="8" width="12.6640625" bestFit="1" customWidth="1"/>
    <col min="9" max="9" width="15.88671875" bestFit="1" customWidth="1"/>
    <col min="10" max="10" width="8.5546875" bestFit="1" customWidth="1"/>
    <col min="11" max="11" width="9.44140625" bestFit="1" customWidth="1"/>
    <col min="12" max="12" width="6.5546875" bestFit="1" customWidth="1"/>
    <col min="13" max="13" width="9.33203125" bestFit="1" customWidth="1"/>
    <col min="14" max="14" width="8.33203125" bestFit="1" customWidth="1"/>
    <col min="15" max="15" width="12.6640625" bestFit="1" customWidth="1"/>
    <col min="16" max="16" width="12.33203125" bestFit="1" customWidth="1"/>
    <col min="17" max="17" width="15.21875" bestFit="1" customWidth="1"/>
    <col min="18" max="19" width="16.6640625" bestFit="1" customWidth="1"/>
    <col min="20" max="20" width="10.21875" bestFit="1" customWidth="1"/>
    <col min="21" max="21" width="10" bestFit="1" customWidth="1"/>
    <col min="22" max="23" width="12" bestFit="1" customWidth="1"/>
  </cols>
  <sheetData>
    <row r="1" spans="1:23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49</v>
      </c>
      <c r="H1" s="1" t="s">
        <v>34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76</v>
      </c>
      <c r="P1" s="1" t="s">
        <v>77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47</v>
      </c>
      <c r="W1" s="1" t="s">
        <v>48</v>
      </c>
    </row>
    <row r="2" spans="1:23" x14ac:dyDescent="0.3">
      <c r="A2" t="s">
        <v>40</v>
      </c>
      <c r="B2" s="2">
        <v>43685</v>
      </c>
      <c r="C2" t="s">
        <v>41</v>
      </c>
      <c r="D2" t="s">
        <v>42</v>
      </c>
      <c r="E2" t="s">
        <v>41</v>
      </c>
      <c r="F2" t="s">
        <v>43</v>
      </c>
      <c r="G2">
        <v>1</v>
      </c>
      <c r="H2">
        <f t="shared" ref="H2:H10" si="0">O2+P2</f>
        <v>12</v>
      </c>
      <c r="I2">
        <f t="shared" ref="I2:I10" si="1">L2+T2+U2</f>
        <v>3</v>
      </c>
      <c r="J2">
        <v>0</v>
      </c>
      <c r="K2">
        <v>9</v>
      </c>
      <c r="L2">
        <v>0</v>
      </c>
      <c r="M2">
        <v>1.5</v>
      </c>
      <c r="N2">
        <v>1</v>
      </c>
      <c r="O2">
        <v>4</v>
      </c>
      <c r="P2">
        <v>8</v>
      </c>
      <c r="Q2">
        <v>1</v>
      </c>
      <c r="R2">
        <v>0</v>
      </c>
      <c r="S2">
        <v>0</v>
      </c>
      <c r="T2">
        <v>1</v>
      </c>
      <c r="U2">
        <v>2</v>
      </c>
      <c r="V2">
        <v>0</v>
      </c>
      <c r="W2">
        <v>1</v>
      </c>
    </row>
    <row r="3" spans="1:23" x14ac:dyDescent="0.3">
      <c r="A3" t="s">
        <v>44</v>
      </c>
      <c r="B3" s="2">
        <v>43686</v>
      </c>
      <c r="C3" t="s">
        <v>41</v>
      </c>
      <c r="D3" t="s">
        <v>51</v>
      </c>
      <c r="E3" t="s">
        <v>41</v>
      </c>
      <c r="F3" t="s">
        <v>52</v>
      </c>
      <c r="G3">
        <v>1</v>
      </c>
      <c r="H3">
        <f t="shared" si="0"/>
        <v>60</v>
      </c>
      <c r="I3">
        <f t="shared" si="1"/>
        <v>59</v>
      </c>
      <c r="J3">
        <v>0</v>
      </c>
      <c r="K3">
        <v>18</v>
      </c>
      <c r="L3">
        <v>1</v>
      </c>
      <c r="M3">
        <v>5.9</v>
      </c>
      <c r="N3">
        <v>2</v>
      </c>
      <c r="O3">
        <v>9</v>
      </c>
      <c r="P3">
        <v>51</v>
      </c>
      <c r="Q3">
        <v>0</v>
      </c>
      <c r="R3">
        <v>0</v>
      </c>
      <c r="S3">
        <v>2</v>
      </c>
      <c r="T3">
        <v>6</v>
      </c>
      <c r="U3">
        <v>52</v>
      </c>
      <c r="V3">
        <v>0</v>
      </c>
      <c r="W3">
        <v>2</v>
      </c>
    </row>
    <row r="4" spans="1:23" x14ac:dyDescent="0.3">
      <c r="A4" t="s">
        <v>65</v>
      </c>
      <c r="B4" s="2">
        <v>43814</v>
      </c>
      <c r="C4" t="s">
        <v>41</v>
      </c>
      <c r="D4" t="s">
        <v>66</v>
      </c>
      <c r="E4" t="s">
        <v>67</v>
      </c>
      <c r="F4" t="s">
        <v>68</v>
      </c>
      <c r="G4">
        <v>1</v>
      </c>
      <c r="H4">
        <f t="shared" si="0"/>
        <v>60</v>
      </c>
      <c r="I4">
        <f t="shared" si="1"/>
        <v>45</v>
      </c>
      <c r="J4">
        <v>0</v>
      </c>
      <c r="K4">
        <v>30</v>
      </c>
      <c r="L4">
        <v>7</v>
      </c>
      <c r="M4">
        <v>4.5</v>
      </c>
      <c r="N4">
        <v>0</v>
      </c>
      <c r="O4">
        <v>33</v>
      </c>
      <c r="P4">
        <v>27</v>
      </c>
      <c r="Q4">
        <v>0</v>
      </c>
      <c r="R4">
        <v>0</v>
      </c>
      <c r="S4">
        <v>0</v>
      </c>
      <c r="T4">
        <v>14</v>
      </c>
      <c r="U4">
        <v>24</v>
      </c>
      <c r="V4">
        <v>0</v>
      </c>
      <c r="W4">
        <v>0</v>
      </c>
    </row>
    <row r="5" spans="1:23" x14ac:dyDescent="0.3">
      <c r="A5" t="s">
        <v>73</v>
      </c>
      <c r="B5" s="2">
        <v>43817</v>
      </c>
      <c r="C5" t="s">
        <v>41</v>
      </c>
      <c r="D5" t="s">
        <v>74</v>
      </c>
      <c r="E5" t="s">
        <v>67</v>
      </c>
      <c r="F5" t="s">
        <v>52</v>
      </c>
      <c r="G5">
        <v>1</v>
      </c>
      <c r="H5">
        <f t="shared" si="0"/>
        <v>60</v>
      </c>
      <c r="I5">
        <f t="shared" si="1"/>
        <v>52</v>
      </c>
      <c r="J5">
        <v>0</v>
      </c>
      <c r="K5">
        <v>34</v>
      </c>
      <c r="L5">
        <v>0</v>
      </c>
      <c r="M5">
        <v>5.2</v>
      </c>
      <c r="N5">
        <v>3</v>
      </c>
      <c r="O5">
        <v>41</v>
      </c>
      <c r="P5">
        <v>19</v>
      </c>
      <c r="Q5">
        <v>1</v>
      </c>
      <c r="R5">
        <v>2</v>
      </c>
      <c r="S5">
        <v>0</v>
      </c>
      <c r="T5">
        <v>34</v>
      </c>
      <c r="U5">
        <v>18</v>
      </c>
      <c r="V5">
        <v>3</v>
      </c>
      <c r="W5">
        <v>0</v>
      </c>
    </row>
    <row r="6" spans="1:23" x14ac:dyDescent="0.3">
      <c r="A6" t="s">
        <v>78</v>
      </c>
      <c r="B6" s="2">
        <v>43821</v>
      </c>
      <c r="C6" t="s">
        <v>41</v>
      </c>
      <c r="D6" t="s">
        <v>79</v>
      </c>
      <c r="E6" t="s">
        <v>67</v>
      </c>
      <c r="F6" t="s">
        <v>52</v>
      </c>
      <c r="G6">
        <v>1</v>
      </c>
      <c r="H6">
        <f t="shared" si="0"/>
        <v>60</v>
      </c>
      <c r="I6">
        <f t="shared" si="1"/>
        <v>67</v>
      </c>
      <c r="J6">
        <v>0</v>
      </c>
      <c r="K6">
        <v>27</v>
      </c>
      <c r="L6">
        <v>0</v>
      </c>
      <c r="M6">
        <v>6.7</v>
      </c>
      <c r="N6">
        <v>0</v>
      </c>
      <c r="O6">
        <v>36</v>
      </c>
      <c r="P6">
        <v>24</v>
      </c>
      <c r="Q6">
        <v>0</v>
      </c>
      <c r="R6">
        <v>0</v>
      </c>
      <c r="S6">
        <v>0</v>
      </c>
      <c r="T6">
        <v>40</v>
      </c>
      <c r="U6">
        <v>27</v>
      </c>
      <c r="V6">
        <v>0</v>
      </c>
      <c r="W6">
        <v>0</v>
      </c>
    </row>
    <row r="7" spans="1:23" x14ac:dyDescent="0.3">
      <c r="A7" t="s">
        <v>81</v>
      </c>
      <c r="B7" s="2">
        <v>43844</v>
      </c>
      <c r="C7" t="s">
        <v>85</v>
      </c>
      <c r="D7" t="s">
        <v>83</v>
      </c>
      <c r="E7" t="s">
        <v>67</v>
      </c>
      <c r="F7" t="s">
        <v>68</v>
      </c>
      <c r="G7">
        <v>1</v>
      </c>
      <c r="H7">
        <f t="shared" si="0"/>
        <v>60</v>
      </c>
      <c r="I7">
        <f t="shared" si="1"/>
        <v>55</v>
      </c>
      <c r="J7">
        <v>0</v>
      </c>
      <c r="K7">
        <v>31</v>
      </c>
      <c r="L7">
        <v>2</v>
      </c>
      <c r="M7">
        <v>5.5</v>
      </c>
      <c r="N7">
        <v>0</v>
      </c>
      <c r="O7">
        <v>37</v>
      </c>
      <c r="P7">
        <v>23</v>
      </c>
      <c r="Q7">
        <v>0</v>
      </c>
      <c r="R7">
        <v>0</v>
      </c>
      <c r="S7">
        <v>0</v>
      </c>
      <c r="T7">
        <v>32</v>
      </c>
      <c r="U7">
        <v>21</v>
      </c>
      <c r="V7">
        <v>0</v>
      </c>
      <c r="W7">
        <v>0</v>
      </c>
    </row>
    <row r="8" spans="1:23" x14ac:dyDescent="0.3">
      <c r="A8" t="s">
        <v>89</v>
      </c>
      <c r="B8" s="2">
        <v>43847</v>
      </c>
      <c r="C8" t="s">
        <v>85</v>
      </c>
      <c r="D8" t="s">
        <v>90</v>
      </c>
      <c r="E8" t="s">
        <v>67</v>
      </c>
      <c r="F8" t="s">
        <v>52</v>
      </c>
      <c r="G8">
        <v>1</v>
      </c>
      <c r="H8">
        <f t="shared" si="0"/>
        <v>60</v>
      </c>
      <c r="I8">
        <f t="shared" si="1"/>
        <v>65</v>
      </c>
      <c r="J8">
        <v>0</v>
      </c>
      <c r="K8">
        <v>19</v>
      </c>
      <c r="L8">
        <v>0</v>
      </c>
      <c r="M8">
        <v>6.5</v>
      </c>
      <c r="N8">
        <v>2</v>
      </c>
      <c r="O8">
        <v>46</v>
      </c>
      <c r="P8">
        <v>14</v>
      </c>
      <c r="Q8">
        <v>1</v>
      </c>
      <c r="R8">
        <v>0</v>
      </c>
      <c r="S8">
        <v>1</v>
      </c>
      <c r="T8">
        <v>50</v>
      </c>
      <c r="U8">
        <v>15</v>
      </c>
      <c r="V8">
        <v>1</v>
      </c>
      <c r="W8">
        <v>1</v>
      </c>
    </row>
    <row r="9" spans="1:23" x14ac:dyDescent="0.3">
      <c r="A9" t="s">
        <v>93</v>
      </c>
      <c r="B9" s="2">
        <v>43849</v>
      </c>
      <c r="C9" t="s">
        <v>85</v>
      </c>
      <c r="D9" t="s">
        <v>97</v>
      </c>
      <c r="E9" t="s">
        <v>67</v>
      </c>
      <c r="F9" t="s">
        <v>52</v>
      </c>
      <c r="G9">
        <v>1</v>
      </c>
      <c r="H9">
        <f t="shared" si="0"/>
        <v>60</v>
      </c>
      <c r="I9">
        <f t="shared" si="1"/>
        <v>62</v>
      </c>
      <c r="J9">
        <v>0</v>
      </c>
      <c r="K9">
        <v>18</v>
      </c>
      <c r="L9">
        <v>1</v>
      </c>
      <c r="M9">
        <v>6.2</v>
      </c>
      <c r="N9">
        <v>1</v>
      </c>
      <c r="O9">
        <v>53</v>
      </c>
      <c r="P9">
        <v>7</v>
      </c>
      <c r="Q9">
        <v>1</v>
      </c>
      <c r="R9">
        <v>0</v>
      </c>
      <c r="S9">
        <v>0</v>
      </c>
      <c r="T9">
        <v>51</v>
      </c>
      <c r="U9">
        <v>10</v>
      </c>
      <c r="V9">
        <v>0</v>
      </c>
      <c r="W9">
        <v>1</v>
      </c>
    </row>
    <row r="10" spans="1:23" x14ac:dyDescent="0.3">
      <c r="A10" t="s">
        <v>99</v>
      </c>
      <c r="B10" s="2">
        <v>43866</v>
      </c>
      <c r="C10" t="s">
        <v>94</v>
      </c>
      <c r="D10" t="s">
        <v>100</v>
      </c>
      <c r="E10" t="s">
        <v>94</v>
      </c>
      <c r="F10" t="s">
        <v>68</v>
      </c>
      <c r="G10">
        <v>1</v>
      </c>
      <c r="H10">
        <f t="shared" si="0"/>
        <v>60</v>
      </c>
      <c r="I10">
        <f t="shared" si="1"/>
        <v>84</v>
      </c>
      <c r="J10">
        <v>0</v>
      </c>
      <c r="K10">
        <v>17</v>
      </c>
      <c r="L10">
        <v>1</v>
      </c>
      <c r="M10">
        <v>8.4</v>
      </c>
      <c r="N10">
        <v>2</v>
      </c>
      <c r="O10">
        <v>30</v>
      </c>
      <c r="P10">
        <v>30</v>
      </c>
      <c r="Q10">
        <v>0</v>
      </c>
      <c r="R10">
        <v>2</v>
      </c>
      <c r="S10">
        <v>0</v>
      </c>
      <c r="T10">
        <v>31</v>
      </c>
      <c r="U10">
        <v>52</v>
      </c>
      <c r="V10">
        <v>1</v>
      </c>
      <c r="W10">
        <v>1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082A6-7FA9-4657-88C1-D9CEF7D54CFD}">
  <dimension ref="A1:W7"/>
  <sheetViews>
    <sheetView topLeftCell="H1" workbookViewId="0">
      <selection activeCell="H5" sqref="H5"/>
    </sheetView>
  </sheetViews>
  <sheetFormatPr defaultRowHeight="14.4" x14ac:dyDescent="0.3"/>
  <cols>
    <col min="1" max="1" width="11" bestFit="1" customWidth="1"/>
    <col min="2" max="2" width="11.33203125" bestFit="1" customWidth="1"/>
    <col min="3" max="3" width="11.6640625" bestFit="1" customWidth="1"/>
    <col min="4" max="4" width="15.5546875" bestFit="1" customWidth="1"/>
    <col min="5" max="5" width="11.6640625" bestFit="1" customWidth="1"/>
    <col min="6" max="6" width="12.5546875" bestFit="1" customWidth="1"/>
    <col min="8" max="8" width="12.6640625" bestFit="1" customWidth="1"/>
    <col min="9" max="9" width="15.88671875" bestFit="1" customWidth="1"/>
    <col min="15" max="15" width="12.6640625" bestFit="1" customWidth="1"/>
    <col min="16" max="16" width="12.33203125" bestFit="1" customWidth="1"/>
    <col min="17" max="17" width="15.21875" bestFit="1" customWidth="1"/>
    <col min="18" max="19" width="16.6640625" bestFit="1" customWidth="1"/>
    <col min="20" max="20" width="10.21875" bestFit="1" customWidth="1"/>
    <col min="21" max="21" width="10" bestFit="1" customWidth="1"/>
    <col min="22" max="23" width="12" bestFit="1" customWidth="1"/>
  </cols>
  <sheetData>
    <row r="1" spans="1:23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49</v>
      </c>
      <c r="H1" s="1" t="s">
        <v>34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76</v>
      </c>
      <c r="P1" s="1" t="s">
        <v>77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47</v>
      </c>
      <c r="W1" s="1" t="s">
        <v>48</v>
      </c>
    </row>
    <row r="2" spans="1:23" x14ac:dyDescent="0.3">
      <c r="A2" t="s">
        <v>73</v>
      </c>
      <c r="B2" s="2">
        <v>43817</v>
      </c>
      <c r="C2" t="s">
        <v>41</v>
      </c>
      <c r="D2" t="s">
        <v>74</v>
      </c>
      <c r="E2" t="s">
        <v>67</v>
      </c>
      <c r="F2" t="s">
        <v>52</v>
      </c>
      <c r="G2">
        <v>1</v>
      </c>
      <c r="H2">
        <f t="shared" ref="H2:H7" si="0">O2+P2</f>
        <v>48</v>
      </c>
      <c r="I2">
        <f t="shared" ref="I2:I7" si="1">L2+T2+U2</f>
        <v>55</v>
      </c>
      <c r="J2">
        <v>0</v>
      </c>
      <c r="K2">
        <v>24</v>
      </c>
      <c r="L2">
        <v>2</v>
      </c>
      <c r="M2">
        <v>6.87</v>
      </c>
      <c r="N2">
        <v>1</v>
      </c>
      <c r="O2">
        <v>26</v>
      </c>
      <c r="P2">
        <v>22</v>
      </c>
      <c r="Q2">
        <v>0</v>
      </c>
      <c r="R2">
        <v>0</v>
      </c>
      <c r="S2">
        <v>1</v>
      </c>
      <c r="T2">
        <v>20</v>
      </c>
      <c r="U2">
        <v>33</v>
      </c>
      <c r="V2">
        <v>0</v>
      </c>
      <c r="W2">
        <v>1</v>
      </c>
    </row>
    <row r="3" spans="1:23" x14ac:dyDescent="0.3">
      <c r="A3" t="s">
        <v>78</v>
      </c>
      <c r="B3" s="2">
        <v>43821</v>
      </c>
      <c r="C3" t="s">
        <v>41</v>
      </c>
      <c r="D3" t="s">
        <v>79</v>
      </c>
      <c r="E3" t="s">
        <v>67</v>
      </c>
      <c r="F3" t="s">
        <v>52</v>
      </c>
      <c r="G3">
        <v>1</v>
      </c>
      <c r="H3">
        <f t="shared" si="0"/>
        <v>60</v>
      </c>
      <c r="I3">
        <f t="shared" si="1"/>
        <v>66</v>
      </c>
      <c r="J3">
        <v>0</v>
      </c>
      <c r="K3">
        <v>29</v>
      </c>
      <c r="L3">
        <v>2</v>
      </c>
      <c r="M3">
        <v>6.6</v>
      </c>
      <c r="N3">
        <v>1</v>
      </c>
      <c r="O3">
        <v>27</v>
      </c>
      <c r="P3">
        <v>33</v>
      </c>
      <c r="Q3">
        <v>0</v>
      </c>
      <c r="R3">
        <v>0</v>
      </c>
      <c r="S3">
        <v>1</v>
      </c>
      <c r="T3">
        <v>20</v>
      </c>
      <c r="U3">
        <v>44</v>
      </c>
      <c r="V3">
        <v>0</v>
      </c>
      <c r="W3">
        <v>1</v>
      </c>
    </row>
    <row r="4" spans="1:23" x14ac:dyDescent="0.3">
      <c r="A4" t="s">
        <v>81</v>
      </c>
      <c r="B4" s="2">
        <v>43844</v>
      </c>
      <c r="C4" t="s">
        <v>85</v>
      </c>
      <c r="D4" t="s">
        <v>83</v>
      </c>
      <c r="E4" t="s">
        <v>67</v>
      </c>
      <c r="F4" t="s">
        <v>68</v>
      </c>
      <c r="G4">
        <v>1</v>
      </c>
      <c r="H4">
        <f t="shared" si="0"/>
        <v>30</v>
      </c>
      <c r="I4">
        <f t="shared" si="1"/>
        <v>43</v>
      </c>
      <c r="J4">
        <v>0</v>
      </c>
      <c r="K4">
        <v>13</v>
      </c>
      <c r="L4">
        <v>4</v>
      </c>
      <c r="M4">
        <v>8.6</v>
      </c>
      <c r="N4">
        <v>0</v>
      </c>
      <c r="O4">
        <v>9</v>
      </c>
      <c r="P4">
        <v>21</v>
      </c>
      <c r="Q4">
        <v>0</v>
      </c>
      <c r="R4">
        <v>0</v>
      </c>
      <c r="S4">
        <v>0</v>
      </c>
      <c r="T4">
        <v>6</v>
      </c>
      <c r="U4">
        <v>33</v>
      </c>
      <c r="V4">
        <v>0</v>
      </c>
      <c r="W4">
        <v>0</v>
      </c>
    </row>
    <row r="5" spans="1:23" x14ac:dyDescent="0.3">
      <c r="A5" t="s">
        <v>99</v>
      </c>
      <c r="B5" s="2">
        <v>43866</v>
      </c>
      <c r="C5" t="s">
        <v>94</v>
      </c>
      <c r="D5" t="s">
        <v>100</v>
      </c>
      <c r="E5" t="s">
        <v>94</v>
      </c>
      <c r="F5" t="s">
        <v>68</v>
      </c>
      <c r="G5">
        <v>1</v>
      </c>
      <c r="H5">
        <f t="shared" si="0"/>
        <v>54</v>
      </c>
      <c r="I5">
        <f t="shared" si="1"/>
        <v>80</v>
      </c>
      <c r="J5">
        <v>0</v>
      </c>
      <c r="K5">
        <v>20</v>
      </c>
      <c r="L5">
        <v>3</v>
      </c>
      <c r="M5">
        <v>8.8800000000000008</v>
      </c>
      <c r="N5">
        <v>1</v>
      </c>
      <c r="O5">
        <v>28</v>
      </c>
      <c r="P5">
        <v>26</v>
      </c>
      <c r="Q5">
        <v>0</v>
      </c>
      <c r="R5">
        <v>0</v>
      </c>
      <c r="S5">
        <v>1</v>
      </c>
      <c r="T5">
        <v>38</v>
      </c>
      <c r="U5">
        <v>39</v>
      </c>
      <c r="V5">
        <v>1</v>
      </c>
      <c r="W5">
        <v>0</v>
      </c>
    </row>
    <row r="6" spans="1:23" x14ac:dyDescent="0.3">
      <c r="A6" t="s">
        <v>103</v>
      </c>
      <c r="B6" s="2">
        <v>43869</v>
      </c>
      <c r="C6" t="s">
        <v>94</v>
      </c>
      <c r="D6" t="s">
        <v>104</v>
      </c>
      <c r="E6" t="s">
        <v>94</v>
      </c>
      <c r="F6" t="s">
        <v>68</v>
      </c>
      <c r="G6">
        <v>1</v>
      </c>
      <c r="H6">
        <f t="shared" si="0"/>
        <v>60</v>
      </c>
      <c r="I6">
        <f t="shared" si="1"/>
        <v>60</v>
      </c>
      <c r="J6">
        <v>1</v>
      </c>
      <c r="K6">
        <v>34</v>
      </c>
      <c r="L6">
        <v>3</v>
      </c>
      <c r="M6">
        <v>6</v>
      </c>
      <c r="N6">
        <v>2</v>
      </c>
      <c r="O6">
        <v>42</v>
      </c>
      <c r="P6">
        <v>18</v>
      </c>
      <c r="Q6">
        <v>0</v>
      </c>
      <c r="R6">
        <v>1</v>
      </c>
      <c r="S6">
        <v>1</v>
      </c>
      <c r="T6">
        <v>45</v>
      </c>
      <c r="U6">
        <v>12</v>
      </c>
      <c r="V6">
        <v>2</v>
      </c>
      <c r="W6">
        <v>0</v>
      </c>
    </row>
    <row r="7" spans="1:23" x14ac:dyDescent="0.3">
      <c r="A7" t="s">
        <v>107</v>
      </c>
      <c r="B7" s="2">
        <v>43872</v>
      </c>
      <c r="C7" t="s">
        <v>94</v>
      </c>
      <c r="D7" t="s">
        <v>108</v>
      </c>
      <c r="E7" t="s">
        <v>94</v>
      </c>
      <c r="F7" t="s">
        <v>68</v>
      </c>
      <c r="G7">
        <v>1</v>
      </c>
      <c r="H7">
        <f t="shared" si="0"/>
        <v>55</v>
      </c>
      <c r="I7">
        <f t="shared" si="1"/>
        <v>87</v>
      </c>
      <c r="J7">
        <v>0</v>
      </c>
      <c r="K7">
        <v>22</v>
      </c>
      <c r="L7">
        <v>4</v>
      </c>
      <c r="M7">
        <v>9.56</v>
      </c>
      <c r="N7">
        <v>1</v>
      </c>
      <c r="O7">
        <v>24</v>
      </c>
      <c r="P7">
        <v>31</v>
      </c>
      <c r="Q7">
        <v>0</v>
      </c>
      <c r="R7">
        <v>0</v>
      </c>
      <c r="S7">
        <v>1</v>
      </c>
      <c r="T7">
        <v>52</v>
      </c>
      <c r="U7">
        <v>31</v>
      </c>
      <c r="V7">
        <v>0</v>
      </c>
      <c r="W7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Virat_Kohli</vt:lpstr>
      <vt:lpstr>Rohit_Sharma</vt:lpstr>
      <vt:lpstr>KL_Rahul</vt:lpstr>
      <vt:lpstr>Shreyas_Iyer</vt:lpstr>
      <vt:lpstr>Shubman_Gill</vt:lpstr>
      <vt:lpstr>Suryakumar_yadav</vt:lpstr>
      <vt:lpstr>Ravindra_jadaja</vt:lpstr>
      <vt:lpstr>Hardik_Pandya</vt:lpstr>
      <vt:lpstr>Axer_Patel</vt:lpstr>
      <vt:lpstr>Jasprit_Bumrah</vt:lpstr>
      <vt:lpstr>Mohammed_Shami</vt:lpstr>
      <vt:lpstr>Mohammed_Siraj</vt:lpstr>
      <vt:lpstr>Kuldeep_Yadav</vt:lpstr>
      <vt:lpstr>Shardul_Thakur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919952579672</dc:creator>
  <cp:lastModifiedBy>Selvam K 24MBA136</cp:lastModifiedBy>
  <dcterms:created xsi:type="dcterms:W3CDTF">2026-01-03T06:20:09Z</dcterms:created>
  <dcterms:modified xsi:type="dcterms:W3CDTF">2026-03-07T14:31:43Z</dcterms:modified>
</cp:coreProperties>
</file>